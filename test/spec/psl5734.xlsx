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-005\users$\cluna\Desktop\EMBARQUE 09-02-2026 (01) ANTILLEAN  (INV 5734)\"/>
    </mc:Choice>
  </mc:AlternateContent>
  <xr:revisionPtr revIDLastSave="0" documentId="13_ncr:1_{64DBC4D0-222E-4551-82D1-319EFFB8EE7E}" xr6:coauthVersionLast="47" xr6:coauthVersionMax="47" xr10:uidLastSave="{00000000-0000-0000-0000-000000000000}"/>
  <bookViews>
    <workbookView xWindow="-120" yWindow="-120" windowWidth="29040" windowHeight="15720" xr2:uid="{FD69057D-3714-45F3-8E5C-FB8FE70BDFF8}"/>
  </bookViews>
  <sheets>
    <sheet name="PSL 5734 " sheetId="1" r:id="rId1"/>
  </sheets>
  <definedNames>
    <definedName name="_xlnm.Print_Area" localSheetId="0">'PSL 5734 '!$A$1:$F$42</definedName>
    <definedName name="_xlnm.Print_Titles" localSheetId="0">'PSL 5734 '!$1:$12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  <c r="D38" i="1"/>
  <c r="E3" i="1"/>
  <c r="F34" i="1" l="1"/>
  <c r="D42" i="1" s="1"/>
  <c r="E34" i="1"/>
  <c r="D41" i="1" s="1"/>
  <c r="D34" i="1"/>
  <c r="A34" i="1"/>
</calcChain>
</file>

<file path=xl/sharedStrings.xml><?xml version="1.0" encoding="utf-8"?>
<sst xmlns="http://schemas.openxmlformats.org/spreadsheetml/2006/main" count="60" uniqueCount="54">
  <si>
    <t xml:space="preserve">Code </t>
  </si>
  <si>
    <t>Description</t>
  </si>
  <si>
    <t xml:space="preserve">Units Quantity </t>
  </si>
  <si>
    <t>Net weight per case (Lb)</t>
  </si>
  <si>
    <t>Gross weight per case (Lb)</t>
  </si>
  <si>
    <t>Ship To:</t>
  </si>
  <si>
    <t>Bill To:</t>
  </si>
  <si>
    <t>Packing Slip</t>
  </si>
  <si>
    <t>RNC 131684955</t>
  </si>
  <si>
    <t>Number</t>
  </si>
  <si>
    <t>Date</t>
  </si>
  <si>
    <t>Ship Date</t>
  </si>
  <si>
    <t>Terms</t>
  </si>
  <si>
    <t>P.O. Number</t>
  </si>
  <si>
    <t>Project</t>
  </si>
  <si>
    <t>Via</t>
  </si>
  <si>
    <t>Origin</t>
  </si>
  <si>
    <t>Container</t>
  </si>
  <si>
    <t>Cigars Quantity</t>
  </si>
  <si>
    <t>Ud</t>
  </si>
  <si>
    <t>Wrappers Quantity</t>
  </si>
  <si>
    <t>Rolling Paper Quantity</t>
  </si>
  <si>
    <t>Net Weight</t>
  </si>
  <si>
    <t>Kg</t>
  </si>
  <si>
    <t>Gross Weight</t>
  </si>
  <si>
    <t>JK Imports &amp; Trading LLC</t>
  </si>
  <si>
    <t>15800 Pines Blvd Suite 3148</t>
  </si>
  <si>
    <t>Pembroke Pines FL 33027</t>
  </si>
  <si>
    <t>Master Cases Quantity</t>
  </si>
  <si>
    <t>Net 30 days</t>
  </si>
  <si>
    <t>8/18/2026</t>
  </si>
  <si>
    <t>Antillean</t>
  </si>
  <si>
    <t>FOB Puerto Plata</t>
  </si>
  <si>
    <t>TEMU-639444-2</t>
  </si>
  <si>
    <t>Sweetwoods Cigars Blue Raspberry 720 ct 5Pk (Large Cigars) net weight 5.75  lbs per 1 case</t>
  </si>
  <si>
    <t>Sweetwoods Cigars Dark Sweet   720 ct (Large Cigars) net weight 5.75  lbs per 1 case  2/NP</t>
  </si>
  <si>
    <t>Sweetwoods Cigars Dark Vanilla  720 ct (Large Cigars) net weight 5.75  lbs per 1 case  2/NP</t>
  </si>
  <si>
    <t>Sweetwoods Cigars Dark Strawberry Cream   720 ct (Large Cigars) net weight 5.75  lbs per 1 case  2/NP</t>
  </si>
  <si>
    <t>Sweetwoods Cigars Dark Aromatic 720 ct (Large Cigars) net weight 5.75  lbs per 1 case  2/NP</t>
  </si>
  <si>
    <t>Sweetwoods Cigars Honey Berry   720 ct (Large Cigars) net weight 5.75  lbs per 1 case  2/1.49</t>
  </si>
  <si>
    <t>Sweetwoods Cigars Blue Raspberry 720 ct (Large Cigars) net weight 5.75  lbs per 1 case  2/1.49</t>
  </si>
  <si>
    <t>Sweetwoods Cigars Russian Cream  720 ct (Large Cigars) net weight 5.75  lbs per 1 case  No Price</t>
  </si>
  <si>
    <t>Sweetwoods Cigars Blueberr Raspberry (Limited Edition) 720 ct (Large Cigars) net weight 5.75  lbs per 1 case  No Price</t>
  </si>
  <si>
    <t>Flat Wrap Cigar Wrapper 99C Flavored Strawberry Cream  1.84 lbs per case  HMGZD / GF2010946</t>
  </si>
  <si>
    <t>Sweetwoods Leaf Wrap Platinum Unsweet Flavor 30/2 Wraps/25 Displays 1500 Wraps, 2 Lb. per case / GF2011824</t>
  </si>
  <si>
    <t>Sweetwoods  Leaf Wrap Irish Cream Flavor 30/2 Wraps/25 Displays 1500 Wraps, 2 Lb. per case / GF2011827</t>
  </si>
  <si>
    <t>Sweetwoods Leaf Wrap Watermelon Flavor 30/2 Wraps/25 Displays 1500 Wraps,  2 Lb. per case / GF2011875</t>
  </si>
  <si>
    <t>Sweetwoods Leaf Wrap Creamy Peach (Limited Edition)Flavor 30/2 Wraps/25 Displays 1500 Wraps,  2 Lb. per case / GF2011827</t>
  </si>
  <si>
    <t xml:space="preserve">Sweetwoods Leaf Wrap Grabba Caribbean Vibes Flavor 20/2 Wraps/25 Displays 1000 Wraps, 1.35 Lb. per case Promo 2/$1.99  </t>
  </si>
  <si>
    <t>Sweetwoods Leaf Wrap Grabba  Flavor 20/2 Wraps/25 Displays 1000 Wraps, 1.35 Lb. per case Promo 2/$1.99  / GF2011822</t>
  </si>
  <si>
    <t>Sweetwoods Leaf Wrap Blue Raspberry  Flavor 20/2 Wraps/25 Displays 1000 Wraps, 1.35 Lb. per case Promo 2/$1.99  / GF2011822</t>
  </si>
  <si>
    <t>4 K's Cigar Wrapper White Grape Flavored  3.25 Lbs net per Case  Hmgzd  4/1.29 / GF2011716</t>
  </si>
  <si>
    <t>4 K's Cigar Wrapper  Consumer Pack Napa Grape Flavored  3.25 Lbs net per Case  Hmgzd   / GF2011716</t>
  </si>
  <si>
    <t>4 K's Cigar Wrapper Consumer Pack Green Sweet Flavored  3.25 Lbs net per Case  Hmgzd  / GF2011722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</si>
</sst>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0_);_(* \(#,##0.0000\);_(* &quot;-&quot;??_);_(@_)"/>
    <numFmt numFmtId="165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Mongolian Baiti"/>
      <family val="4"/>
    </font>
    <font>
      <b/>
      <sz val="11"/>
      <name val="Mongolian Baiti"/>
      <family val="4"/>
    </font>
    <font>
      <b/>
      <sz val="12"/>
      <color theme="1"/>
      <name val="Mongolian Baiti"/>
      <family val="4"/>
    </font>
    <font>
      <sz val="10"/>
      <color theme="1"/>
      <name val="Mongolian Baiti"/>
      <family val="4"/>
    </font>
    <font>
      <b/>
      <sz val="18"/>
      <color theme="9" tint="-0.499984740745262"/>
      <name val="Mongolian Baiti"/>
      <family val="4"/>
    </font>
    <font>
      <b/>
      <sz val="8"/>
      <color theme="9" tint="-0.499984740745262"/>
      <name val="Mongolian Baiti"/>
      <family val="4"/>
    </font>
    <font>
      <b/>
      <sz val="11"/>
      <color theme="1"/>
      <name val="Mongolian Baiti"/>
      <family val="4"/>
    </font>
    <font>
      <sz val="11"/>
      <color theme="1"/>
      <name val="Arial"/>
      <family val="2"/>
    </font>
    <font>
      <sz val="11"/>
      <name val="Mongolian Baiti"/>
      <family val="4"/>
    </font>
    <font>
      <b/>
      <sz val="10"/>
      <name val="Mongolian Baiti"/>
      <family val="4"/>
    </font>
    <font>
      <b/>
      <sz val="8"/>
      <name val="Mongolian Baiti"/>
      <family val="4"/>
    </font>
    <font>
      <sz val="11"/>
      <name val="Tahoma"/>
      <family val="2"/>
    </font>
    <font>
      <sz val="11"/>
      <color theme="1"/>
      <name val="Tahoma"/>
      <family val="2"/>
    </font>
    <font>
      <b/>
      <sz val="11"/>
      <name val="Tahoma"/>
      <family val="2"/>
    </font>
    <font>
      <b/>
      <sz val="11"/>
      <color theme="1"/>
      <name val="Tahoma"/>
      <family val="2"/>
    </font>
    <font>
      <sz val="11"/>
      <name val="Microsoft Sans Serif"/>
      <family val="2"/>
    </font>
    <font>
      <sz val="12"/>
      <name val="Microsoft Sans Serif"/>
      <family val="2"/>
    </font>
    <font>
      <sz val="11"/>
      <color rgb="FF000000"/>
      <name val="Microsoft Sans Serif"/>
      <family val="2"/>
    </font>
    <font>
      <sz val="11"/>
      <color rgb="FF000000"/>
      <name val="Tahoma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0" borderId="0" xfId="0" applyFont="1" applyAlignment="1">
      <alignment wrapText="1"/>
    </xf>
    <xf numFmtId="0" fontId="13" fillId="0" borderId="4" xfId="0" applyFont="1" applyBorder="1" applyAlignment="1">
      <alignment vertical="center"/>
    </xf>
    <xf numFmtId="2" fontId="13" fillId="2" borderId="4" xfId="0" applyNumberFormat="1" applyFont="1" applyFill="1" applyBorder="1" applyAlignment="1">
      <alignment vertical="center"/>
    </xf>
    <xf numFmtId="164" fontId="14" fillId="2" borderId="0" xfId="1" applyNumberFormat="1" applyFont="1" applyFill="1" applyBorder="1" applyAlignment="1">
      <alignment vertical="center"/>
    </xf>
    <xf numFmtId="43" fontId="14" fillId="3" borderId="0" xfId="1" applyFont="1" applyFill="1"/>
    <xf numFmtId="0" fontId="13" fillId="3" borderId="0" xfId="0" applyFont="1" applyFill="1"/>
    <xf numFmtId="165" fontId="15" fillId="2" borderId="0" xfId="1" applyNumberFormat="1" applyFont="1" applyFill="1" applyBorder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wrapText="1"/>
    </xf>
    <xf numFmtId="43" fontId="15" fillId="2" borderId="0" xfId="1" applyFont="1" applyFill="1" applyBorder="1" applyAlignment="1">
      <alignment vertical="center"/>
    </xf>
    <xf numFmtId="43" fontId="16" fillId="2" borderId="0" xfId="1" applyFont="1" applyFill="1" applyBorder="1" applyAlignment="1">
      <alignment vertical="center"/>
    </xf>
    <xf numFmtId="0" fontId="13" fillId="3" borderId="0" xfId="0" applyFont="1" applyFill="1" applyAlignment="1">
      <alignment horizontal="left"/>
    </xf>
    <xf numFmtId="0" fontId="14" fillId="3" borderId="0" xfId="0" applyFont="1" applyFill="1"/>
    <xf numFmtId="0" fontId="15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43" fontId="15" fillId="2" borderId="0" xfId="0" applyNumberFormat="1" applyFont="1" applyFill="1" applyAlignment="1">
      <alignment vertical="center"/>
    </xf>
    <xf numFmtId="0" fontId="13" fillId="3" borderId="0" xfId="0" applyFont="1" applyFill="1" applyAlignment="1">
      <alignment vertical="center"/>
    </xf>
    <xf numFmtId="164" fontId="14" fillId="3" borderId="0" xfId="1" applyNumberFormat="1" applyFont="1" applyFill="1" applyAlignment="1">
      <alignment vertical="center"/>
    </xf>
    <xf numFmtId="0" fontId="17" fillId="2" borderId="0" xfId="0" applyFont="1" applyFill="1" applyAlignment="1">
      <alignment horizontal="right"/>
    </xf>
    <xf numFmtId="0" fontId="18" fillId="2" borderId="0" xfId="0" applyFont="1" applyFill="1" applyAlignment="1">
      <alignment horizontal="right"/>
    </xf>
    <xf numFmtId="14" fontId="17" fillId="2" borderId="0" xfId="0" applyNumberFormat="1" applyFont="1" applyFill="1" applyAlignment="1">
      <alignment horizontal="right"/>
    </xf>
    <xf numFmtId="14" fontId="18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17" fillId="2" borderId="0" xfId="0" applyFont="1" applyFill="1" applyAlignment="1">
      <alignment horizontal="left"/>
    </xf>
    <xf numFmtId="0" fontId="19" fillId="2" borderId="0" xfId="0" applyFont="1" applyFill="1"/>
    <xf numFmtId="0" fontId="13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49" fontId="14" fillId="0" borderId="0" xfId="0" applyNumberFormat="1" applyFont="1" applyAlignment="1">
      <alignment vertical="center" wrapText="1"/>
    </xf>
    <xf numFmtId="37" fontId="13" fillId="2" borderId="0" xfId="1" applyNumberFormat="1" applyFont="1" applyFill="1" applyBorder="1" applyAlignment="1">
      <alignment horizontal="right" vertical="center" wrapText="1"/>
    </xf>
    <xf numFmtId="2" fontId="13" fillId="2" borderId="0" xfId="0" applyNumberFormat="1" applyFont="1" applyFill="1" applyAlignment="1">
      <alignment horizontal="right" vertical="center" wrapText="1"/>
    </xf>
    <xf numFmtId="0" fontId="14" fillId="0" borderId="0" xfId="0" applyFont="1" applyAlignment="1">
      <alignment vertical="center" wrapText="1"/>
    </xf>
    <xf numFmtId="0" fontId="20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49" fontId="20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 wrapText="1"/>
    </xf>
    <xf numFmtId="37" fontId="13" fillId="0" borderId="0" xfId="1" applyNumberFormat="1" applyFont="1" applyBorder="1" applyAlignment="1">
      <alignment horizontal="right" vertical="center" wrapText="1"/>
    </xf>
    <xf numFmtId="2" fontId="13" fillId="3" borderId="0" xfId="0" applyNumberFormat="1" applyFont="1" applyFill="1" applyAlignment="1">
      <alignment horizontal="right" vertical="center" wrapText="1"/>
    </xf>
    <xf numFmtId="0" fontId="21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37" fontId="22" fillId="0" borderId="0" xfId="1" applyNumberFormat="1" applyFont="1" applyBorder="1" applyAlignment="1">
      <alignment horizontal="right" vertical="center" wrapText="1"/>
    </xf>
    <xf numFmtId="0" fontId="14" fillId="2" borderId="0" xfId="0" applyFont="1" applyFill="1" applyAlignment="1">
      <alignment vertical="center" wrapText="1"/>
    </xf>
    <xf numFmtId="0" fontId="14" fillId="2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1236687</xdr:colOff>
      <xdr:row>0</xdr:row>
      <xdr:rowOff>609600</xdr:rowOff>
    </xdr:to>
    <xdr:pic>
      <xdr:nvPicPr>
        <xdr:cNvPr id="3308" name="Picture 732">
          <a:extLst>
            <a:ext uri="{FF2B5EF4-FFF2-40B4-BE49-F238E27FC236}">
              <a16:creationId xmlns:a16="http://schemas.microsoft.com/office/drawing/2014/main" id="{06D18C77-4871-411F-AA4D-0D41E24FD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33525" y="0"/>
          <a:ext cx="1236687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076EA-8339-4BFD-AE4D-4263552D0AFE}">
  <dimension ref="A1:H42"/>
  <sheetViews>
    <sheetView tabSelected="1" workbookViewId="0">
      <selection activeCell="C31" sqref="C31"/>
    </sheetView>
  </sheetViews>
  <sheetFormatPr baseColWidth="10" defaultRowHeight="15" x14ac:dyDescent="0.25"/>
  <cols>
    <col min="1" max="1" width="10.7109375" customWidth="1"/>
    <col min="2" max="2" width="12.28515625" hidden="1" customWidth="1"/>
    <col min="3" max="3" width="66.28515625" customWidth="1"/>
    <col min="4" max="4" width="14.7109375" customWidth="1"/>
    <col min="5" max="5" width="11.7109375" customWidth="1"/>
    <col min="6" max="6" width="11" customWidth="1"/>
    <col min="7" max="7" width="13.42578125" customWidth="1"/>
    <col min="8" max="8" width="16.140625" bestFit="1" customWidth="1"/>
  </cols>
  <sheetData>
    <row r="1" spans="1:8" ht="63" customHeight="1" x14ac:dyDescent="0.25">
      <c r="C1" s="6" t="s">
        <v>8</v>
      </c>
      <c r="E1" s="5" t="s">
        <v>7</v>
      </c>
    </row>
    <row r="2" spans="1:8" ht="15.75" x14ac:dyDescent="0.25">
      <c r="B2" s="7"/>
      <c r="C2" s="7" t="s">
        <v>5</v>
      </c>
      <c r="D2" s="8" t="s">
        <v>9</v>
      </c>
      <c r="E2" s="33">
        <v>5734</v>
      </c>
      <c r="F2" s="34"/>
    </row>
    <row r="3" spans="1:8" ht="15.75" x14ac:dyDescent="0.25">
      <c r="B3" s="9"/>
      <c r="C3" s="9" t="s">
        <v>25</v>
      </c>
      <c r="D3" s="8" t="s">
        <v>10</v>
      </c>
      <c r="E3" s="35" t="str">
        <f ca="1">TEXT(TODAY(),"m/d/yyyy")</f>
        <v>8/31/2026</v>
      </c>
      <c r="F3" s="36"/>
    </row>
    <row r="4" spans="1:8" ht="15.75" x14ac:dyDescent="0.25">
      <c r="B4" s="9"/>
      <c r="C4" s="9" t="s">
        <v>26</v>
      </c>
      <c r="D4" s="8" t="s">
        <v>11</v>
      </c>
      <c r="E4" s="35">
        <v>46062</v>
      </c>
      <c r="F4" s="36"/>
    </row>
    <row r="5" spans="1:8" ht="15.75" x14ac:dyDescent="0.25">
      <c r="B5" s="9"/>
      <c r="C5" s="9" t="s">
        <v>27</v>
      </c>
      <c r="D5" s="8" t="s">
        <v>12</v>
      </c>
      <c r="E5" s="33" t="s">
        <v>29</v>
      </c>
      <c r="F5" s="37"/>
    </row>
    <row r="6" spans="1:8" ht="15.75" x14ac:dyDescent="0.25">
      <c r="D6" s="8" t="s">
        <v>13</v>
      </c>
      <c r="E6" s="33">
        <v>81826</v>
      </c>
      <c r="F6" s="34"/>
    </row>
    <row r="7" spans="1:8" ht="15.75" x14ac:dyDescent="0.25">
      <c r="B7" s="7"/>
      <c r="C7" s="7" t="s">
        <v>6</v>
      </c>
      <c r="D7" s="8" t="s">
        <v>14</v>
      </c>
      <c r="E7" s="35" t="s">
        <v>30</v>
      </c>
      <c r="F7" s="37"/>
    </row>
    <row r="8" spans="1:8" ht="15.75" x14ac:dyDescent="0.25">
      <c r="B8" s="9"/>
      <c r="C8" s="9" t="s">
        <v>25</v>
      </c>
      <c r="D8" s="8" t="s">
        <v>15</v>
      </c>
      <c r="E8" s="35" t="s">
        <v>31</v>
      </c>
      <c r="F8" s="37"/>
    </row>
    <row r="9" spans="1:8" x14ac:dyDescent="0.25">
      <c r="B9" s="9"/>
      <c r="C9" s="9" t="s">
        <v>26</v>
      </c>
      <c r="D9" s="8" t="s">
        <v>16</v>
      </c>
      <c r="E9" s="38" t="s">
        <v>32</v>
      </c>
      <c r="F9" s="39"/>
    </row>
    <row r="10" spans="1:8" s="10" customFormat="1" ht="18" customHeight="1" x14ac:dyDescent="0.25">
      <c r="A10"/>
      <c r="B10" s="9"/>
      <c r="C10" s="9" t="s">
        <v>27</v>
      </c>
      <c r="D10" s="8" t="s">
        <v>17</v>
      </c>
      <c r="E10" s="39" t="s">
        <v>33</v>
      </c>
      <c r="F10" s="39"/>
      <c r="G10"/>
      <c r="H10"/>
    </row>
    <row r="11" spans="1:8" ht="15.75" thickBot="1" x14ac:dyDescent="0.3"/>
    <row r="12" spans="1:8" ht="30" customHeight="1" thickTop="1" thickBot="1" x14ac:dyDescent="0.3">
      <c r="A12" s="12" t="s">
        <v>28</v>
      </c>
      <c r="B12" s="1" t="s">
        <v>0</v>
      </c>
      <c r="C12" s="2" t="s">
        <v>1</v>
      </c>
      <c r="D12" s="11" t="s">
        <v>2</v>
      </c>
      <c r="E12" s="11" t="s">
        <v>3</v>
      </c>
      <c r="F12" s="11" t="s">
        <v>4</v>
      </c>
      <c r="G12" s="3"/>
      <c r="H12" s="4"/>
    </row>
    <row r="13" spans="1:8" s="45" customFormat="1" ht="30" customHeight="1" thickTop="1" x14ac:dyDescent="0.25">
      <c r="A13" s="40">
        <v>286</v>
      </c>
      <c r="B13" s="41">
        <v>995199</v>
      </c>
      <c r="C13" s="42" t="s">
        <v>34</v>
      </c>
      <c r="D13" s="43">
        <v>205920</v>
      </c>
      <c r="E13" s="43">
        <v>1644.5</v>
      </c>
      <c r="F13" s="43">
        <v>2642.64</v>
      </c>
      <c r="G13" s="44"/>
      <c r="H13" s="44"/>
    </row>
    <row r="14" spans="1:8" s="45" customFormat="1" ht="30" customHeight="1" x14ac:dyDescent="0.25">
      <c r="A14" s="46">
        <v>92</v>
      </c>
      <c r="B14" s="47">
        <v>995431</v>
      </c>
      <c r="C14" s="42" t="s">
        <v>35</v>
      </c>
      <c r="D14" s="43">
        <v>66240</v>
      </c>
      <c r="E14" s="43">
        <v>529</v>
      </c>
      <c r="F14" s="43">
        <v>1023.04</v>
      </c>
      <c r="G14" s="44"/>
      <c r="H14" s="44"/>
    </row>
    <row r="15" spans="1:8" s="45" customFormat="1" ht="30" customHeight="1" x14ac:dyDescent="0.25">
      <c r="A15" s="46">
        <v>164</v>
      </c>
      <c r="B15" s="47">
        <v>995433</v>
      </c>
      <c r="C15" s="42" t="s">
        <v>36</v>
      </c>
      <c r="D15" s="43">
        <v>118080</v>
      </c>
      <c r="E15" s="43">
        <v>943</v>
      </c>
      <c r="F15" s="43">
        <v>1823.6799999999998</v>
      </c>
      <c r="G15" s="44"/>
      <c r="H15" s="44"/>
    </row>
    <row r="16" spans="1:8" s="45" customFormat="1" ht="30" customHeight="1" x14ac:dyDescent="0.25">
      <c r="A16" s="46">
        <v>69</v>
      </c>
      <c r="B16" s="47">
        <v>995434</v>
      </c>
      <c r="C16" s="42" t="s">
        <v>37</v>
      </c>
      <c r="D16" s="43">
        <v>49680</v>
      </c>
      <c r="E16" s="43">
        <v>396.75</v>
      </c>
      <c r="F16" s="43">
        <v>767.28</v>
      </c>
      <c r="G16" s="44"/>
      <c r="H16" s="44"/>
    </row>
    <row r="17" spans="1:8" s="45" customFormat="1" ht="30" customHeight="1" x14ac:dyDescent="0.25">
      <c r="A17" s="46">
        <v>42</v>
      </c>
      <c r="B17" s="41">
        <v>995388</v>
      </c>
      <c r="C17" s="48" t="s">
        <v>38</v>
      </c>
      <c r="D17" s="43">
        <v>30240</v>
      </c>
      <c r="E17" s="43">
        <v>241.5</v>
      </c>
      <c r="F17" s="43">
        <v>467.03999999999996</v>
      </c>
      <c r="G17" s="44"/>
      <c r="H17" s="44"/>
    </row>
    <row r="18" spans="1:8" s="45" customFormat="1" ht="30" customHeight="1" x14ac:dyDescent="0.25">
      <c r="A18" s="46">
        <v>7</v>
      </c>
      <c r="B18" s="47">
        <v>995454</v>
      </c>
      <c r="C18" s="42" t="s">
        <v>39</v>
      </c>
      <c r="D18" s="43">
        <v>5040</v>
      </c>
      <c r="E18" s="43">
        <v>40.25</v>
      </c>
      <c r="F18" s="43">
        <v>77.839999999999989</v>
      </c>
      <c r="G18" s="44"/>
      <c r="H18" s="44"/>
    </row>
    <row r="19" spans="1:8" s="45" customFormat="1" ht="30" customHeight="1" x14ac:dyDescent="0.25">
      <c r="A19" s="46">
        <v>49</v>
      </c>
      <c r="B19" s="47">
        <v>995476</v>
      </c>
      <c r="C19" s="42" t="s">
        <v>40</v>
      </c>
      <c r="D19" s="43">
        <v>35280</v>
      </c>
      <c r="E19" s="43">
        <v>281.75</v>
      </c>
      <c r="F19" s="43">
        <v>544.88</v>
      </c>
      <c r="G19" s="44"/>
      <c r="H19" s="44"/>
    </row>
    <row r="20" spans="1:8" s="45" customFormat="1" ht="30" customHeight="1" x14ac:dyDescent="0.25">
      <c r="A20" s="46">
        <v>24</v>
      </c>
      <c r="B20" s="41">
        <v>995355</v>
      </c>
      <c r="C20" s="49" t="s">
        <v>41</v>
      </c>
      <c r="D20" s="43">
        <v>17280</v>
      </c>
      <c r="E20" s="43">
        <v>138</v>
      </c>
      <c r="F20" s="43">
        <v>266.88</v>
      </c>
      <c r="G20" s="44"/>
      <c r="H20" s="44"/>
    </row>
    <row r="21" spans="1:8" s="45" customFormat="1" ht="30" customHeight="1" x14ac:dyDescent="0.25">
      <c r="A21" s="46">
        <v>143</v>
      </c>
      <c r="B21" s="41">
        <v>995375</v>
      </c>
      <c r="C21" s="48" t="s">
        <v>42</v>
      </c>
      <c r="D21" s="43">
        <v>102960</v>
      </c>
      <c r="E21" s="43">
        <v>822.25</v>
      </c>
      <c r="F21" s="43">
        <v>1590.1599999999999</v>
      </c>
      <c r="G21" s="44"/>
      <c r="H21" s="44"/>
    </row>
    <row r="22" spans="1:8" s="45" customFormat="1" ht="30" customHeight="1" x14ac:dyDescent="0.25">
      <c r="A22" s="46">
        <v>25</v>
      </c>
      <c r="B22" s="47">
        <v>998120</v>
      </c>
      <c r="C22" s="48" t="s">
        <v>43</v>
      </c>
      <c r="D22" s="50">
        <v>31250</v>
      </c>
      <c r="E22" s="43">
        <v>46</v>
      </c>
      <c r="F22" s="43">
        <v>206.25</v>
      </c>
      <c r="G22" s="51"/>
      <c r="H22" s="51"/>
    </row>
    <row r="23" spans="1:8" s="55" customFormat="1" ht="30" customHeight="1" x14ac:dyDescent="0.25">
      <c r="A23" s="46">
        <v>40</v>
      </c>
      <c r="B23" s="52">
        <v>995300</v>
      </c>
      <c r="C23" s="53" t="s">
        <v>44</v>
      </c>
      <c r="D23" s="54">
        <v>60000</v>
      </c>
      <c r="E23" s="43">
        <v>80</v>
      </c>
      <c r="F23" s="43">
        <v>421.2</v>
      </c>
      <c r="G23" s="51"/>
      <c r="H23" s="51"/>
    </row>
    <row r="24" spans="1:8" s="55" customFormat="1" ht="30" customHeight="1" x14ac:dyDescent="0.25">
      <c r="A24" s="46">
        <v>40</v>
      </c>
      <c r="B24" s="52">
        <v>995302</v>
      </c>
      <c r="C24" s="53" t="s">
        <v>45</v>
      </c>
      <c r="D24" s="54">
        <v>60000</v>
      </c>
      <c r="E24" s="43">
        <v>80</v>
      </c>
      <c r="F24" s="43">
        <v>421.2</v>
      </c>
      <c r="G24" s="51"/>
      <c r="H24" s="51"/>
    </row>
    <row r="25" spans="1:8" s="55" customFormat="1" ht="30" customHeight="1" x14ac:dyDescent="0.25">
      <c r="A25" s="46">
        <v>50</v>
      </c>
      <c r="B25" s="52">
        <v>995309</v>
      </c>
      <c r="C25" s="53" t="s">
        <v>46</v>
      </c>
      <c r="D25" s="54">
        <v>75000</v>
      </c>
      <c r="E25" s="43">
        <v>100</v>
      </c>
      <c r="F25" s="43">
        <v>526.5</v>
      </c>
      <c r="G25" s="51"/>
      <c r="H25" s="51"/>
    </row>
    <row r="26" spans="1:8" s="55" customFormat="1" ht="30" customHeight="1" x14ac:dyDescent="0.25">
      <c r="A26" s="46">
        <v>50</v>
      </c>
      <c r="B26" s="52">
        <v>995316</v>
      </c>
      <c r="C26" s="53" t="s">
        <v>47</v>
      </c>
      <c r="D26" s="54">
        <v>75000</v>
      </c>
      <c r="E26" s="43">
        <v>100</v>
      </c>
      <c r="F26" s="43">
        <v>526.5</v>
      </c>
      <c r="G26" s="51"/>
      <c r="H26" s="51"/>
    </row>
    <row r="27" spans="1:8" s="55" customFormat="1" ht="30" customHeight="1" x14ac:dyDescent="0.25">
      <c r="A27" s="46">
        <v>80</v>
      </c>
      <c r="B27" s="56">
        <v>995652</v>
      </c>
      <c r="C27" s="53" t="s">
        <v>48</v>
      </c>
      <c r="D27" s="54">
        <v>80000</v>
      </c>
      <c r="E27" s="43">
        <v>108</v>
      </c>
      <c r="F27" s="43">
        <v>680</v>
      </c>
      <c r="G27" s="51"/>
      <c r="H27" s="51"/>
    </row>
    <row r="28" spans="1:8" s="55" customFormat="1" ht="30" customHeight="1" x14ac:dyDescent="0.25">
      <c r="A28" s="46">
        <v>56</v>
      </c>
      <c r="B28" s="56">
        <v>995653</v>
      </c>
      <c r="C28" s="53" t="s">
        <v>49</v>
      </c>
      <c r="D28" s="54">
        <v>56000</v>
      </c>
      <c r="E28" s="43">
        <v>75.600000000000009</v>
      </c>
      <c r="F28" s="43">
        <v>476</v>
      </c>
      <c r="G28" s="51"/>
      <c r="H28" s="51"/>
    </row>
    <row r="29" spans="1:8" s="55" customFormat="1" ht="30" customHeight="1" x14ac:dyDescent="0.25">
      <c r="A29" s="46">
        <v>346</v>
      </c>
      <c r="B29" s="56">
        <v>995661</v>
      </c>
      <c r="C29" s="53" t="s">
        <v>50</v>
      </c>
      <c r="D29" s="54">
        <v>346000</v>
      </c>
      <c r="E29" s="43">
        <v>467.1</v>
      </c>
      <c r="F29" s="43">
        <v>2941</v>
      </c>
      <c r="G29" s="51"/>
      <c r="H29" s="51"/>
    </row>
    <row r="30" spans="1:8" s="57" customFormat="1" ht="30" customHeight="1" x14ac:dyDescent="0.25">
      <c r="A30" s="46">
        <v>5</v>
      </c>
      <c r="B30" s="47">
        <v>998379</v>
      </c>
      <c r="C30" s="48" t="s">
        <v>51</v>
      </c>
      <c r="D30" s="50">
        <v>15000</v>
      </c>
      <c r="E30" s="43">
        <v>16.25</v>
      </c>
      <c r="F30" s="43">
        <v>48.7</v>
      </c>
      <c r="G30" s="51"/>
      <c r="H30" s="51"/>
    </row>
    <row r="31" spans="1:8" s="55" customFormat="1" ht="30" customHeight="1" x14ac:dyDescent="0.25">
      <c r="A31" s="46">
        <v>25</v>
      </c>
      <c r="B31" s="47">
        <v>998342</v>
      </c>
      <c r="C31" s="48" t="s">
        <v>52</v>
      </c>
      <c r="D31" s="50">
        <v>75000</v>
      </c>
      <c r="E31" s="43">
        <v>81.25</v>
      </c>
      <c r="F31" s="43">
        <v>243.5</v>
      </c>
      <c r="G31" s="51"/>
      <c r="H31" s="51"/>
    </row>
    <row r="32" spans="1:8" s="57" customFormat="1" ht="30" customHeight="1" x14ac:dyDescent="0.25">
      <c r="A32" s="46">
        <v>60</v>
      </c>
      <c r="B32" s="47">
        <v>998348</v>
      </c>
      <c r="C32" s="48" t="s">
        <v>53</v>
      </c>
      <c r="D32" s="50">
        <v>180000</v>
      </c>
      <c r="E32" s="43">
        <v>195</v>
      </c>
      <c r="F32" s="43">
        <v>584.4</v>
      </c>
      <c r="G32" s="51"/>
      <c r="H32" s="51"/>
    </row>
    <row r="33" spans="1:8" s="20" customFormat="1" ht="15" customHeight="1" thickBot="1" x14ac:dyDescent="0.25">
      <c r="A33" s="13"/>
      <c r="B33" s="14"/>
      <c r="C33" s="15"/>
      <c r="D33" s="16"/>
      <c r="E33" s="17"/>
      <c r="F33" s="17"/>
      <c r="G33" s="18"/>
      <c r="H33" s="19"/>
    </row>
    <row r="34" spans="1:8" s="20" customFormat="1" ht="14.25" x14ac:dyDescent="0.2">
      <c r="A34" s="21">
        <f>SUM(A13:A33)</f>
        <v>1653</v>
      </c>
      <c r="B34" s="22"/>
      <c r="C34" s="23"/>
      <c r="D34" s="21">
        <f>SUM(D13:D33)</f>
        <v>1683970</v>
      </c>
      <c r="E34" s="21">
        <f>SUM(E13:E33)</f>
        <v>6386.2000000000007</v>
      </c>
      <c r="F34" s="21">
        <f>SUM(F13:F33)</f>
        <v>16278.69</v>
      </c>
      <c r="G34" s="24"/>
      <c r="H34" s="24"/>
    </row>
    <row r="35" spans="1:8" s="20" customFormat="1" ht="14.25" x14ac:dyDescent="0.2">
      <c r="A35" s="22"/>
      <c r="B35" s="22"/>
      <c r="C35" s="23"/>
      <c r="D35" s="21"/>
      <c r="E35" s="21"/>
      <c r="F35" s="21"/>
      <c r="G35" s="25"/>
      <c r="H35" s="25"/>
    </row>
    <row r="36" spans="1:8" s="20" customFormat="1" ht="14.25" x14ac:dyDescent="0.2">
      <c r="A36" s="22"/>
      <c r="B36" s="22"/>
      <c r="C36" s="23"/>
      <c r="D36" s="21"/>
      <c r="E36" s="21"/>
      <c r="F36" s="21"/>
      <c r="G36" s="25"/>
      <c r="H36" s="25"/>
    </row>
    <row r="37" spans="1:8" s="20" customFormat="1" ht="14.25" x14ac:dyDescent="0.2">
      <c r="A37" s="26"/>
      <c r="B37" s="22"/>
      <c r="C37" s="23"/>
      <c r="D37" s="21"/>
      <c r="E37" s="21"/>
      <c r="F37" s="21"/>
      <c r="G37" s="25"/>
      <c r="H37" s="27"/>
    </row>
    <row r="38" spans="1:8" s="20" customFormat="1" ht="14.25" x14ac:dyDescent="0.2">
      <c r="A38" s="26"/>
      <c r="B38" s="22"/>
      <c r="C38" s="28" t="s">
        <v>18</v>
      </c>
      <c r="D38" s="21">
        <f>D34-D32-D31-D30-D29-D28-D27-D26-D25-D24-D23-D22</f>
        <v>630720</v>
      </c>
      <c r="E38" s="29" t="s">
        <v>19</v>
      </c>
      <c r="F38" s="21"/>
      <c r="G38" s="25"/>
      <c r="H38" s="27"/>
    </row>
    <row r="39" spans="1:8" s="20" customFormat="1" ht="14.25" x14ac:dyDescent="0.2">
      <c r="A39" s="26"/>
      <c r="B39" s="22"/>
      <c r="C39" s="28" t="s">
        <v>20</v>
      </c>
      <c r="D39" s="21">
        <f>D22+D23+D24+D25+D26+D27+D28+D29+D30+D31+D32</f>
        <v>1053250</v>
      </c>
      <c r="E39" s="29" t="s">
        <v>19</v>
      </c>
      <c r="F39" s="21"/>
      <c r="G39" s="25"/>
      <c r="H39" s="27"/>
    </row>
    <row r="40" spans="1:8" s="20" customFormat="1" ht="14.25" hidden="1" x14ac:dyDescent="0.2">
      <c r="A40" s="26"/>
      <c r="B40" s="22"/>
      <c r="C40" s="28" t="s">
        <v>21</v>
      </c>
      <c r="D40" s="21"/>
      <c r="E40" s="29" t="s">
        <v>19</v>
      </c>
      <c r="F40" s="21"/>
      <c r="G40" s="25"/>
      <c r="H40" s="27"/>
    </row>
    <row r="41" spans="1:8" s="20" customFormat="1" ht="14.25" x14ac:dyDescent="0.2">
      <c r="B41" s="14"/>
      <c r="C41" s="28" t="s">
        <v>22</v>
      </c>
      <c r="D41" s="30">
        <f>E34/2.2046</f>
        <v>2896.7613172457591</v>
      </c>
      <c r="E41" s="29" t="s">
        <v>23</v>
      </c>
      <c r="F41" s="31"/>
      <c r="G41" s="32"/>
      <c r="H41" s="27"/>
    </row>
    <row r="42" spans="1:8" s="20" customFormat="1" ht="14.25" x14ac:dyDescent="0.2">
      <c r="B42" s="14"/>
      <c r="C42" s="28" t="s">
        <v>24</v>
      </c>
      <c r="D42" s="30">
        <f>F34/2.2046</f>
        <v>7383.9653451873355</v>
      </c>
      <c r="E42" s="29" t="s">
        <v>23</v>
      </c>
      <c r="F42" s="31"/>
      <c r="G42" s="32"/>
      <c r="H42" s="27"/>
    </row>
  </sheetData>
  <printOptions horizontalCentered="1"/>
  <pageMargins left="0" right="0" top="0.25" bottom="0.5" header="0.3" footer="0.3"/>
  <pageSetup scale="90" orientation="portrait" verticalDpi="0" r:id="rId1"/>
  <headerFooter>
    <oddFooter>&amp;C&amp;K09-047Direccion: Manzana G #3, Etapa I, Parque Industrial Victor Espaillat M. ,  Santiago, Republica Dominicana 
 Tel 809-570-3256 - Cel 829-548-1758 - email: administracion@eymaseirl.com&amp;R&amp;P/&amp;N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PSL 5734 </vt:lpstr>
      <vt:lpstr>'PSL 5734 '!Área_de_impresión</vt:lpstr>
      <vt:lpstr>'PSL 5734 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cluna</dc:creator>
  <cp:lastModifiedBy>Cruz Luna</cp:lastModifiedBy>
  <cp:lastPrinted>2026-08-31T15:42:11Z</cp:lastPrinted>
  <dcterms:created xsi:type="dcterms:W3CDTF">2023-02-28T14:50:56Z</dcterms:created>
  <dcterms:modified xsi:type="dcterms:W3CDTF">2026-08-31T15:42:16Z</dcterms:modified>
</cp:coreProperties>
</file>