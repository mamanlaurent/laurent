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urent Maman\Desktop\Pricing list and skus\"/>
    </mc:Choice>
  </mc:AlternateContent>
  <xr:revisionPtr revIDLastSave="0" documentId="8_{127583C0-EEB2-474F-9884-CB22457DC1CA}" xr6:coauthVersionLast="47" xr6:coauthVersionMax="47" xr10:uidLastSave="{00000000-0000-0000-0000-000000000000}"/>
  <bookViews>
    <workbookView xWindow="14415" yWindow="1485" windowWidth="13635" windowHeight="12360" xr2:uid="{00000000-000D-0000-FFFF-FFFF00000000}"/>
  </bookViews>
  <sheets>
    <sheet name="Price List" sheetId="1" r:id="rId1"/>
  </sheets>
  <definedNames>
    <definedName name="_xlnm.Print_Titles" localSheetId="0">'Price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8" i="1" l="1"/>
  <c r="M98" i="1"/>
  <c r="I98" i="1"/>
  <c r="H98" i="1"/>
  <c r="J98" i="1" s="1"/>
  <c r="K98" i="1" s="1"/>
  <c r="N96" i="1"/>
  <c r="M96" i="1"/>
  <c r="I96" i="1"/>
  <c r="H96" i="1"/>
  <c r="J96" i="1" s="1"/>
  <c r="K96" i="1" s="1"/>
  <c r="N94" i="1"/>
  <c r="M94" i="1"/>
  <c r="I94" i="1"/>
  <c r="H94" i="1"/>
  <c r="J94" i="1" s="1"/>
  <c r="K94" i="1" s="1"/>
  <c r="N93" i="1"/>
  <c r="M93" i="1"/>
  <c r="I93" i="1"/>
  <c r="H93" i="1"/>
  <c r="J93" i="1" s="1"/>
  <c r="K93" i="1" s="1"/>
  <c r="N92" i="1"/>
  <c r="M92" i="1"/>
  <c r="I92" i="1"/>
  <c r="H92" i="1"/>
  <c r="J92" i="1" s="1"/>
  <c r="K92" i="1" s="1"/>
  <c r="N91" i="1"/>
  <c r="M91" i="1"/>
  <c r="I91" i="1"/>
  <c r="H91" i="1"/>
  <c r="J91" i="1" s="1"/>
  <c r="K91" i="1" s="1"/>
  <c r="N90" i="1"/>
  <c r="M90" i="1"/>
  <c r="J90" i="1"/>
  <c r="K90" i="1" s="1"/>
  <c r="I90" i="1"/>
  <c r="H90" i="1"/>
  <c r="N89" i="1"/>
  <c r="M89" i="1"/>
  <c r="J89" i="1"/>
  <c r="K89" i="1" s="1"/>
  <c r="I89" i="1"/>
  <c r="H89" i="1"/>
  <c r="N88" i="1"/>
  <c r="M88" i="1"/>
  <c r="I88" i="1"/>
  <c r="H88" i="1"/>
  <c r="J88" i="1" s="1"/>
  <c r="K88" i="1" s="1"/>
  <c r="N87" i="1"/>
  <c r="M87" i="1"/>
  <c r="I87" i="1"/>
  <c r="H87" i="1"/>
  <c r="J87" i="1" s="1"/>
  <c r="K87" i="1" s="1"/>
  <c r="N86" i="1"/>
  <c r="M86" i="1"/>
  <c r="I86" i="1"/>
  <c r="H86" i="1"/>
  <c r="J86" i="1" s="1"/>
  <c r="K86" i="1" s="1"/>
  <c r="N85" i="1"/>
  <c r="M85" i="1"/>
  <c r="I85" i="1"/>
  <c r="H85" i="1"/>
  <c r="J85" i="1" s="1"/>
  <c r="K85" i="1" s="1"/>
  <c r="N84" i="1"/>
  <c r="M84" i="1"/>
  <c r="I84" i="1"/>
  <c r="H84" i="1"/>
  <c r="J84" i="1" s="1"/>
  <c r="K84" i="1" s="1"/>
  <c r="N83" i="1"/>
  <c r="M83" i="1"/>
  <c r="I83" i="1"/>
  <c r="H83" i="1"/>
  <c r="J83" i="1" s="1"/>
  <c r="K83" i="1" s="1"/>
  <c r="N82" i="1"/>
  <c r="M82" i="1"/>
  <c r="J82" i="1"/>
  <c r="K82" i="1" s="1"/>
  <c r="I82" i="1"/>
  <c r="H82" i="1"/>
  <c r="N81" i="1"/>
  <c r="M81" i="1"/>
  <c r="J81" i="1"/>
  <c r="K81" i="1" s="1"/>
  <c r="I81" i="1"/>
  <c r="H81" i="1"/>
  <c r="N80" i="1"/>
  <c r="M80" i="1"/>
  <c r="I80" i="1"/>
  <c r="H80" i="1"/>
  <c r="J80" i="1" s="1"/>
  <c r="K80" i="1" s="1"/>
  <c r="N79" i="1"/>
  <c r="M79" i="1"/>
  <c r="I79" i="1"/>
  <c r="H79" i="1"/>
  <c r="J79" i="1" s="1"/>
  <c r="K79" i="1" s="1"/>
  <c r="N78" i="1"/>
  <c r="M78" i="1"/>
  <c r="I78" i="1"/>
  <c r="H78" i="1"/>
  <c r="J78" i="1" s="1"/>
  <c r="K78" i="1" s="1"/>
  <c r="N77" i="1"/>
  <c r="M77" i="1"/>
  <c r="I77" i="1"/>
  <c r="H77" i="1"/>
  <c r="J77" i="1" s="1"/>
  <c r="K77" i="1" s="1"/>
  <c r="N76" i="1"/>
  <c r="M76" i="1"/>
  <c r="I76" i="1"/>
  <c r="H76" i="1"/>
  <c r="J76" i="1" s="1"/>
  <c r="K76" i="1" s="1"/>
  <c r="N75" i="1"/>
  <c r="M75" i="1"/>
  <c r="I75" i="1"/>
  <c r="H75" i="1"/>
  <c r="J75" i="1" s="1"/>
  <c r="K75" i="1" s="1"/>
  <c r="N74" i="1"/>
  <c r="M74" i="1"/>
  <c r="J74" i="1"/>
  <c r="K74" i="1" s="1"/>
  <c r="I74" i="1"/>
  <c r="H74" i="1"/>
  <c r="N73" i="1"/>
  <c r="M73" i="1"/>
  <c r="J73" i="1"/>
  <c r="K73" i="1" s="1"/>
  <c r="I73" i="1"/>
  <c r="H73" i="1"/>
  <c r="N72" i="1"/>
  <c r="M72" i="1"/>
  <c r="I72" i="1"/>
  <c r="H72" i="1"/>
  <c r="J72" i="1" s="1"/>
  <c r="K72" i="1" s="1"/>
  <c r="N71" i="1"/>
  <c r="M71" i="1"/>
  <c r="I71" i="1"/>
  <c r="H71" i="1"/>
  <c r="J71" i="1" s="1"/>
  <c r="K71" i="1" s="1"/>
  <c r="N70" i="1"/>
  <c r="M70" i="1"/>
  <c r="I70" i="1"/>
  <c r="H70" i="1"/>
  <c r="J70" i="1" s="1"/>
  <c r="K70" i="1" s="1"/>
  <c r="N69" i="1"/>
  <c r="M69" i="1"/>
  <c r="I69" i="1"/>
  <c r="H69" i="1"/>
  <c r="J69" i="1" s="1"/>
  <c r="K69" i="1" s="1"/>
  <c r="N68" i="1"/>
  <c r="M68" i="1"/>
  <c r="I68" i="1"/>
  <c r="H68" i="1"/>
  <c r="J68" i="1" s="1"/>
  <c r="K68" i="1" s="1"/>
  <c r="N67" i="1"/>
  <c r="M67" i="1"/>
  <c r="I67" i="1"/>
  <c r="H67" i="1"/>
  <c r="J67" i="1" s="1"/>
  <c r="K67" i="1" s="1"/>
  <c r="N66" i="1"/>
  <c r="M66" i="1"/>
  <c r="J66" i="1"/>
  <c r="K66" i="1" s="1"/>
  <c r="I66" i="1"/>
  <c r="H66" i="1"/>
  <c r="N65" i="1"/>
  <c r="M65" i="1"/>
  <c r="J65" i="1"/>
  <c r="K65" i="1" s="1"/>
  <c r="I65" i="1"/>
  <c r="H65" i="1"/>
  <c r="N64" i="1"/>
  <c r="M64" i="1"/>
  <c r="I64" i="1"/>
  <c r="H64" i="1"/>
  <c r="J64" i="1" s="1"/>
  <c r="K64" i="1" s="1"/>
  <c r="N62" i="1"/>
  <c r="M62" i="1"/>
  <c r="H62" i="1"/>
  <c r="N61" i="1"/>
  <c r="M61" i="1"/>
  <c r="H61" i="1"/>
  <c r="N60" i="1"/>
  <c r="M60" i="1"/>
  <c r="H60" i="1"/>
  <c r="N59" i="1"/>
  <c r="M59" i="1"/>
  <c r="H59" i="1"/>
  <c r="N58" i="1"/>
  <c r="M58" i="1"/>
  <c r="H58" i="1"/>
  <c r="N57" i="1"/>
  <c r="M57" i="1"/>
  <c r="J57" i="1"/>
  <c r="K57" i="1" s="1"/>
  <c r="I57" i="1"/>
  <c r="H57" i="1"/>
  <c r="N56" i="1"/>
  <c r="M56" i="1"/>
  <c r="J56" i="1"/>
  <c r="K56" i="1" s="1"/>
  <c r="I56" i="1"/>
  <c r="H56" i="1"/>
  <c r="N55" i="1"/>
  <c r="M55" i="1"/>
  <c r="H55" i="1"/>
  <c r="N54" i="1"/>
  <c r="M54" i="1"/>
  <c r="H54" i="1"/>
  <c r="N53" i="1"/>
  <c r="M53" i="1"/>
  <c r="H53" i="1"/>
  <c r="N51" i="1"/>
  <c r="M51" i="1"/>
  <c r="H51" i="1"/>
  <c r="I51" i="1" s="1"/>
  <c r="N50" i="1"/>
  <c r="M50" i="1"/>
  <c r="H50" i="1"/>
  <c r="N49" i="1"/>
  <c r="M49" i="1"/>
  <c r="H49" i="1"/>
  <c r="I49" i="1" s="1"/>
  <c r="N48" i="1"/>
  <c r="M48" i="1"/>
  <c r="J48" i="1"/>
  <c r="K48" i="1" s="1"/>
  <c r="I48" i="1"/>
  <c r="H48" i="1"/>
  <c r="N47" i="1"/>
  <c r="M47" i="1"/>
  <c r="J47" i="1"/>
  <c r="K47" i="1" s="1"/>
  <c r="I47" i="1"/>
  <c r="H47" i="1"/>
  <c r="N46" i="1"/>
  <c r="M46" i="1"/>
  <c r="H46" i="1"/>
  <c r="N45" i="1"/>
  <c r="M45" i="1"/>
  <c r="H45" i="1"/>
  <c r="N44" i="1"/>
  <c r="M44" i="1"/>
  <c r="H44" i="1"/>
  <c r="N43" i="1"/>
  <c r="M43" i="1"/>
  <c r="H43" i="1"/>
  <c r="N42" i="1"/>
  <c r="M42" i="1"/>
  <c r="H42" i="1"/>
  <c r="N41" i="1"/>
  <c r="M41" i="1"/>
  <c r="H41" i="1"/>
  <c r="N40" i="1"/>
  <c r="M40" i="1"/>
  <c r="J40" i="1"/>
  <c r="K40" i="1" s="1"/>
  <c r="I40" i="1"/>
  <c r="H40" i="1"/>
  <c r="N39" i="1"/>
  <c r="M39" i="1"/>
  <c r="J39" i="1"/>
  <c r="K39" i="1" s="1"/>
  <c r="I39" i="1"/>
  <c r="H39" i="1"/>
  <c r="N38" i="1"/>
  <c r="M38" i="1"/>
  <c r="H38" i="1"/>
  <c r="N37" i="1"/>
  <c r="M37" i="1"/>
  <c r="H37" i="1"/>
  <c r="N36" i="1"/>
  <c r="M36" i="1"/>
  <c r="H36" i="1"/>
  <c r="N35" i="1"/>
  <c r="M35" i="1"/>
  <c r="H35" i="1"/>
  <c r="N34" i="1"/>
  <c r="M34" i="1"/>
  <c r="H34" i="1"/>
  <c r="N33" i="1"/>
  <c r="M33" i="1"/>
  <c r="H33" i="1"/>
  <c r="N32" i="1"/>
  <c r="M32" i="1"/>
  <c r="J32" i="1"/>
  <c r="K32" i="1" s="1"/>
  <c r="I32" i="1"/>
  <c r="H32" i="1"/>
  <c r="N31" i="1"/>
  <c r="M31" i="1"/>
  <c r="J31" i="1"/>
  <c r="K31" i="1" s="1"/>
  <c r="I31" i="1"/>
  <c r="H31" i="1"/>
  <c r="N30" i="1"/>
  <c r="M30" i="1"/>
  <c r="H30" i="1"/>
  <c r="I30" i="1" s="1"/>
  <c r="N29" i="1"/>
  <c r="M29" i="1"/>
  <c r="H29" i="1"/>
  <c r="N28" i="1"/>
  <c r="M28" i="1"/>
  <c r="H28" i="1"/>
  <c r="N27" i="1"/>
  <c r="M27" i="1"/>
  <c r="H27" i="1"/>
  <c r="I27" i="1" s="1"/>
  <c r="N26" i="1"/>
  <c r="M26" i="1"/>
  <c r="H26" i="1"/>
  <c r="N25" i="1"/>
  <c r="M25" i="1"/>
  <c r="H25" i="1"/>
  <c r="N24" i="1"/>
  <c r="M24" i="1"/>
  <c r="J24" i="1"/>
  <c r="K24" i="1" s="1"/>
  <c r="I24" i="1"/>
  <c r="H24" i="1"/>
  <c r="N23" i="1"/>
  <c r="M23" i="1"/>
  <c r="J23" i="1"/>
  <c r="K23" i="1" s="1"/>
  <c r="I23" i="1"/>
  <c r="H23" i="1"/>
  <c r="N22" i="1"/>
  <c r="M22" i="1"/>
  <c r="H22" i="1"/>
  <c r="N21" i="1"/>
  <c r="M21" i="1"/>
  <c r="H21" i="1"/>
  <c r="N20" i="1"/>
  <c r="M20" i="1"/>
  <c r="H20" i="1"/>
  <c r="N19" i="1"/>
  <c r="M19" i="1"/>
  <c r="H19" i="1"/>
  <c r="N18" i="1"/>
  <c r="M18" i="1"/>
  <c r="H18" i="1"/>
  <c r="N17" i="1"/>
  <c r="M17" i="1"/>
  <c r="H17" i="1"/>
  <c r="N16" i="1"/>
  <c r="M16" i="1"/>
  <c r="J16" i="1"/>
  <c r="K16" i="1" s="1"/>
  <c r="I16" i="1"/>
  <c r="H16" i="1"/>
  <c r="N15" i="1"/>
  <c r="M15" i="1"/>
  <c r="J15" i="1"/>
  <c r="K15" i="1" s="1"/>
  <c r="I15" i="1"/>
  <c r="H15" i="1"/>
  <c r="N14" i="1"/>
  <c r="M14" i="1"/>
  <c r="H14" i="1"/>
  <c r="I14" i="1" s="1"/>
  <c r="N13" i="1"/>
  <c r="M13" i="1"/>
  <c r="H13" i="1"/>
  <c r="N12" i="1"/>
  <c r="M12" i="1"/>
  <c r="H12" i="1"/>
  <c r="N11" i="1"/>
  <c r="M11" i="1"/>
  <c r="H11" i="1"/>
  <c r="N10" i="1"/>
  <c r="M10" i="1"/>
  <c r="H10" i="1"/>
  <c r="N9" i="1"/>
  <c r="M9" i="1"/>
  <c r="H9" i="1"/>
  <c r="N8" i="1"/>
  <c r="M8" i="1"/>
  <c r="J8" i="1"/>
  <c r="K8" i="1" s="1"/>
  <c r="I8" i="1"/>
  <c r="H8" i="1"/>
  <c r="N7" i="1"/>
  <c r="M7" i="1"/>
  <c r="J7" i="1"/>
  <c r="K7" i="1" s="1"/>
  <c r="I7" i="1"/>
  <c r="H7" i="1"/>
  <c r="N6" i="1"/>
  <c r="M6" i="1"/>
  <c r="H6" i="1"/>
  <c r="N5" i="1"/>
  <c r="M5" i="1"/>
  <c r="H5" i="1"/>
  <c r="N4" i="1"/>
  <c r="M4" i="1"/>
  <c r="H4" i="1"/>
  <c r="J62" i="1" l="1"/>
  <c r="K62" i="1" s="1"/>
  <c r="J42" i="1"/>
  <c r="K42" i="1" s="1"/>
  <c r="J33" i="1"/>
  <c r="K33" i="1" s="1"/>
  <c r="J20" i="1"/>
  <c r="K20" i="1" s="1"/>
  <c r="J43" i="1"/>
  <c r="K43" i="1" s="1"/>
  <c r="J34" i="1"/>
  <c r="K34" i="1" s="1"/>
  <c r="J25" i="1"/>
  <c r="K25" i="1" s="1"/>
  <c r="J54" i="1"/>
  <c r="K54" i="1" s="1"/>
  <c r="J58" i="1"/>
  <c r="K58" i="1" s="1"/>
  <c r="J17" i="1"/>
  <c r="K17" i="1" s="1"/>
  <c r="J45" i="1"/>
  <c r="K45" i="1" s="1"/>
  <c r="J4" i="1"/>
  <c r="K4" i="1" s="1"/>
  <c r="J36" i="1"/>
  <c r="K36" i="1" s="1"/>
  <c r="J60" i="1"/>
  <c r="K60" i="1" s="1"/>
  <c r="J18" i="1"/>
  <c r="K18" i="1" s="1"/>
  <c r="J46" i="1"/>
  <c r="K46" i="1" s="1"/>
  <c r="J50" i="1"/>
  <c r="K50" i="1" s="1"/>
  <c r="I19" i="1"/>
  <c r="J19" i="1" s="1"/>
  <c r="K19" i="1" s="1"/>
  <c r="I43" i="1"/>
  <c r="I60" i="1"/>
  <c r="J27" i="1"/>
  <c r="K27" i="1" s="1"/>
  <c r="J51" i="1"/>
  <c r="K51" i="1" s="1"/>
  <c r="I6" i="1"/>
  <c r="J6" i="1" s="1"/>
  <c r="K6" i="1" s="1"/>
  <c r="I22" i="1"/>
  <c r="J22" i="1" s="1"/>
  <c r="K22" i="1" s="1"/>
  <c r="I38" i="1"/>
  <c r="J38" i="1" s="1"/>
  <c r="K38" i="1" s="1"/>
  <c r="I55" i="1"/>
  <c r="J55" i="1" s="1"/>
  <c r="K55" i="1" s="1"/>
  <c r="J14" i="1"/>
  <c r="K14" i="1" s="1"/>
  <c r="J30" i="1"/>
  <c r="K30" i="1" s="1"/>
  <c r="I9" i="1"/>
  <c r="J9" i="1" s="1"/>
  <c r="K9" i="1" s="1"/>
  <c r="I25" i="1"/>
  <c r="I41" i="1"/>
  <c r="J41" i="1" s="1"/>
  <c r="K41" i="1" s="1"/>
  <c r="J49" i="1"/>
  <c r="K49" i="1" s="1"/>
  <c r="I4" i="1"/>
  <c r="I12" i="1"/>
  <c r="J12" i="1" s="1"/>
  <c r="K12" i="1" s="1"/>
  <c r="I20" i="1"/>
  <c r="I28" i="1"/>
  <c r="J28" i="1" s="1"/>
  <c r="K28" i="1" s="1"/>
  <c r="I36" i="1"/>
  <c r="I44" i="1"/>
  <c r="J44" i="1" s="1"/>
  <c r="K44" i="1" s="1"/>
  <c r="I53" i="1"/>
  <c r="J53" i="1" s="1"/>
  <c r="K53" i="1" s="1"/>
  <c r="I61" i="1"/>
  <c r="J61" i="1" s="1"/>
  <c r="K61" i="1" s="1"/>
  <c r="I11" i="1"/>
  <c r="J11" i="1" s="1"/>
  <c r="K11" i="1" s="1"/>
  <c r="I35" i="1"/>
  <c r="J35" i="1" s="1"/>
  <c r="K35" i="1" s="1"/>
  <c r="I46" i="1"/>
  <c r="I17" i="1"/>
  <c r="I33" i="1"/>
  <c r="I58" i="1"/>
  <c r="I10" i="1"/>
  <c r="J10" i="1" s="1"/>
  <c r="K10" i="1" s="1"/>
  <c r="I18" i="1"/>
  <c r="I42" i="1"/>
  <c r="I26" i="1"/>
  <c r="J26" i="1" s="1"/>
  <c r="K26" i="1" s="1"/>
  <c r="I34" i="1"/>
  <c r="I50" i="1"/>
  <c r="I59" i="1"/>
  <c r="J59" i="1" s="1"/>
  <c r="K59" i="1" s="1"/>
  <c r="I5" i="1"/>
  <c r="J5" i="1" s="1"/>
  <c r="K5" i="1" s="1"/>
  <c r="I13" i="1"/>
  <c r="J13" i="1" s="1"/>
  <c r="K13" i="1" s="1"/>
  <c r="I21" i="1"/>
  <c r="J21" i="1" s="1"/>
  <c r="K21" i="1" s="1"/>
  <c r="I29" i="1"/>
  <c r="J29" i="1" s="1"/>
  <c r="K29" i="1" s="1"/>
  <c r="I37" i="1"/>
  <c r="J37" i="1" s="1"/>
  <c r="K37" i="1" s="1"/>
  <c r="I45" i="1"/>
  <c r="I54" i="1"/>
  <c r="I62" i="1"/>
</calcChain>
</file>

<file path=xl/sharedStrings.xml><?xml version="1.0" encoding="utf-8"?>
<sst xmlns="http://schemas.openxmlformats.org/spreadsheetml/2006/main" count="111" uniqueCount="108">
  <si>
    <t>Rates →</t>
  </si>
  <si>
    <t>#</t>
  </si>
  <si>
    <t>Description</t>
  </si>
  <si>
    <t>Sticks Per Case</t>
  </si>
  <si>
    <t>#/PLT</t>
  </si>
  <si>
    <t>+ 1</t>
  </si>
  <si>
    <t>Markup</t>
  </si>
  <si>
    <t>Price</t>
  </si>
  <si>
    <t>Diff.</t>
  </si>
  <si>
    <t>HA</t>
  </si>
  <si>
    <t>ALL</t>
  </si>
  <si>
    <t>BS cigars 625 ct PP Black Series</t>
  </si>
  <si>
    <t>BS cigars in Pouches 720 ct</t>
  </si>
  <si>
    <t>Carribean Royales Churchill Cigars</t>
  </si>
  <si>
    <t>Carribean Royales Robusto Cigars</t>
  </si>
  <si>
    <t>CL 900 ct Cigar</t>
  </si>
  <si>
    <t>CLIPPER Cigars</t>
  </si>
  <si>
    <t>Fiesta / Supreme 1125 ct Cigar</t>
  </si>
  <si>
    <t>FIESTA / SUPREME 1125 ct Cigars</t>
  </si>
  <si>
    <t>Good Days Cigars Lonsdale Natural 1000 ct</t>
  </si>
  <si>
    <t>Good Days Cigars Perfecto Maduro 1000 ct</t>
  </si>
  <si>
    <t>Good Days Cigars Petite Corona Natural 1000 ct</t>
  </si>
  <si>
    <t>Good Days Cigars Robusto Natural 1000 ct</t>
  </si>
  <si>
    <t>HD Palma 720 ct 2/1.49 Cigar</t>
  </si>
  <si>
    <t>L&amp;W 1500 ct 5 pk Cigar</t>
  </si>
  <si>
    <t>L&amp;W 960 ct 2 pk 2/99 Cigar</t>
  </si>
  <si>
    <t>L&amp;W cigars 625 ct</t>
  </si>
  <si>
    <t>La Morena Cigars Churchill Maduro Flavored 1000 ct (Large Cigars) net weight 21 lbs per 1 case</t>
  </si>
  <si>
    <t>La Morena Cigars Churchill Natural Flavored 1000 ct (Large Cigars) net weight 21 lbs per 1 case</t>
  </si>
  <si>
    <t>La Morena Cigars Lonsdale Natural Flavored 1000 ct (Large Cigars) net weight 21 lbs per 1 case</t>
  </si>
  <si>
    <t>La Morena Cigars Perfecto Natural Flavored 1000 ct (Large Cigars) net weight 21 lbs per 1 case</t>
  </si>
  <si>
    <t>La Morena Cigars Perfecto Natural Maduro 1000 ct (Large Cigars) net weight 21 lbs per 1 case</t>
  </si>
  <si>
    <t>La Morena Cigars Petite Corona Maduro Flavored 1000 ct (Large Cigars) net weight 21 lbs per 1 case</t>
  </si>
  <si>
    <t>La Morena Cigars Petite Corona Natural Flavored 1000 ct (Large Cigars) net weight 21 lbs per 1 case</t>
  </si>
  <si>
    <t>La Morena Cigars Robusto Maduro Flavored 1000 ct (Large Cigars) net weight 21 lbs per 1 case</t>
  </si>
  <si>
    <t>La Morena Cigars Robusto Natural Flavored 1000 ct (Large Cigars) net weight 21 lbs per 1 case</t>
  </si>
  <si>
    <t>La Morena USA Cigars Churchill Maduro Flavored 1000 ct (Large Cigars) net weight 21 lbs per 1 case</t>
  </si>
  <si>
    <t>La Morena USA Cigars Petite Corona Natural 1000 ct (Large Cigars) Net Weight 21 lbs per 1 case</t>
  </si>
  <si>
    <t>La Morena USA Cigars Robusto Maduro Flavored 1000 ct (Large Cigars) net weight 21 lbs per 1 case</t>
  </si>
  <si>
    <t>La Morena USA Cigars Robusto Natural Flavored 1000 ct (Large Cigars) net weight 21 lbs per 1 case</t>
  </si>
  <si>
    <t>Remington filter cigars 6000 ct</t>
  </si>
  <si>
    <t>Sweetwoods Cigars 720 ct 2 pk &amp; 5 pk Dark Reserve</t>
  </si>
  <si>
    <t>GT cigarillos 1800 ct 90 count</t>
  </si>
  <si>
    <t>GT cigarillos 720 ct</t>
  </si>
  <si>
    <t>HD cigarillos 1080 count Dark Reserve</t>
  </si>
  <si>
    <t>Level-Up cigarillos 1440 ct</t>
  </si>
  <si>
    <t>GAME TIME DUCH STYLE CIGAR WRAPPER FLAVORED 0.66 LBS PER CASE</t>
  </si>
  <si>
    <t>GAME TIME DUCH STYLE CIGAR WRAPPER FLAVORED 3.25 LBS PER CASE</t>
  </si>
  <si>
    <t>GT Leaf Wrap Flavored 25/2 wraps/25 displays 1250 wraps per case, 1.6 lbs per case</t>
  </si>
  <si>
    <t>GT One Cut Leaf Wrap Flavored 25/1 wraps 99C, 1000 wraps per case, 1.34 lbs per case</t>
  </si>
  <si>
    <t>GT Rough Cut Leaf Natural Flavored 25/2 Wraps/25 Displays, 1250 Wraps per case, 2 Lbs Net per case</t>
  </si>
  <si>
    <t>SW SPLIFF WITH SWEET WRAP 100 POUCHES /200 CUTS NET WEIGHT 0.25 LBS</t>
  </si>
  <si>
    <t>SWEETWOOD NATURAL WHOLE LEAF 24/1 LEAF/10 DISPLAYS 240 LEAVES, 7.56 LBS PER CASE</t>
  </si>
  <si>
    <t>Sweetwoods Leaf Wrap Flavored 20/2 Wraps/25 Displays 1000 Wraps, 1.33 Lb. per case Promo 2/$1.99</t>
  </si>
  <si>
    <t>Sweetwoods Wraps Dark Reserve 2 lbs per case</t>
  </si>
  <si>
    <t>Sweetwoods Wraps Long Cut 3.72 lbs</t>
  </si>
  <si>
    <t>Sweetwoods Wraps Long Cut 4 lbs</t>
  </si>
  <si>
    <t>Sweetwoods Wraps Whole Leaf 1.25 lbs</t>
  </si>
  <si>
    <t>Windsor Leaf 2.85 lbs</t>
  </si>
  <si>
    <t>Super Hemp</t>
  </si>
  <si>
    <t>Banana Cone 2pk</t>
  </si>
  <si>
    <t>Case Cost (Needmaj)</t>
  </si>
  <si>
    <t>SWEETWOOD LEAF FLAVOR 23/2 WRAPS/ 46 WRAPS, 0.061 LB PER CASE</t>
  </si>
  <si>
    <t>Case Cost (Invoice)</t>
  </si>
  <si>
    <t>Rate</t>
  </si>
  <si>
    <r>
      <rPr>
        <b/>
        <sz val="12"/>
        <rFont val="Tahoma"/>
        <family val="2"/>
      </rPr>
      <t>HD Cigarillos Palma Flavored 480 ct (large cigars) net weight 10 lbs per 1 case 2/$1.29</t>
    </r>
    <r>
      <rPr>
        <sz val="12"/>
        <rFont val="Tahoma"/>
        <family val="2"/>
      </rPr>
      <t xml:space="preserve">
HD Cigarillos Palma flavored 480 ct (large cigars) net weight 10 lbs per 1 case 2/$1.49
</t>
    </r>
  </si>
  <si>
    <r>
      <rPr>
        <b/>
        <sz val="12"/>
        <rFont val="Tahoma"/>
        <family val="2"/>
      </rPr>
      <t>Sweetwoods Wraps 2 lbs per case</t>
    </r>
    <r>
      <rPr>
        <sz val="12"/>
        <rFont val="Tahoma"/>
      </rPr>
      <t xml:space="preserve">
</t>
    </r>
    <r>
      <rPr>
        <sz val="12"/>
        <rFont val="Tahoma"/>
        <family val="2"/>
      </rPr>
      <t>Sweetwoods Leaf Wrap Flavored 30/2 Wraps/25 Displays 1500 Wraps, 2 Lb. per case</t>
    </r>
  </si>
  <si>
    <t>Sweetwoods Leaf Wrap Flavored 20/2 Wraps/25 Displays 1000 Wraps, 1.35 Lb. per case Promo 2/$1.99</t>
  </si>
  <si>
    <r>
      <rPr>
        <b/>
        <sz val="12"/>
        <rFont val="Tahoma"/>
        <family val="2"/>
      </rPr>
      <t>GT cigarillos 1200 ct Box</t>
    </r>
    <r>
      <rPr>
        <sz val="12"/>
        <rFont val="Tahoma"/>
      </rPr>
      <t xml:space="preserve">
</t>
    </r>
    <r>
      <rPr>
        <sz val="12"/>
        <rFont val="Tahoma"/>
        <family val="2"/>
      </rPr>
      <t>GT Cigarillos flavored 1200 Ct (Large Cigar) net Weight 8.32 Lbs per 1 Case</t>
    </r>
  </si>
  <si>
    <t>PRICE LIST — ORGANIZED BY CATEGORY</t>
  </si>
  <si>
    <t>BS cigars 750 ct large cigars</t>
  </si>
  <si>
    <t>4 K's Cigar Wrapper Giveaway Flavored 1.56 Lbs net per Case Hmgzd 4/99</t>
  </si>
  <si>
    <t>Flat Wrap Cigar Wrapper Giveaway Flavored 99C 1.059 lbs per case HMGZD</t>
  </si>
  <si>
    <t>Flat Wraps 1.84 lbs
Flat Wrap Cigar Wrapper 99C Flavored 1.84 lbs per case HMGZD</t>
  </si>
  <si>
    <t>Game Time Dutch Leaf Wrap Flavored 1.5 Lbs net per Case Hmgzd 4/2/99</t>
  </si>
  <si>
    <t>Good Times Spliff Wrapps Sweet Aroma Flavored 30/2 Wraps/25 Displays 1500 Wraps, 2.1 Lb. per case / PX2418848</t>
  </si>
  <si>
    <t>GT Rough Cut Leaf Flavored 25/4 Wraps/25 Displays, 2500 Wraps per case, 3.5 Lbs NET per case</t>
  </si>
  <si>
    <t>GT Triple Cut Leaf Wrap Flavored 30/3 Wraps $2.49, 900 Wraps per case, 1.45 Lbs Net per case</t>
  </si>
  <si>
    <t>Sweetwoods Long Cut Wrap Flavored 242 Wraps/25 Displays 1200 Wraps, 4 Lb. per case / GF2011874</t>
  </si>
  <si>
    <t>Sweetwoods Whole Leaf Flavor 24/1 Wraps/10 Displays 240 Wraps, 7.56 Lb. per case</t>
  </si>
  <si>
    <t>CIGARS (48 items)</t>
  </si>
  <si>
    <t>CIGARILLOS (10 items)</t>
  </si>
  <si>
    <t>LEAF &amp; WRAPS (31 items)</t>
  </si>
  <si>
    <t>HEMP (1 items)</t>
  </si>
  <si>
    <t>OTHER (1 items)</t>
  </si>
  <si>
    <r>
      <t xml:space="preserve">4 k's Wraps 3.25 lbs
</t>
    </r>
    <r>
      <rPr>
        <sz val="12"/>
        <rFont val="Tahoma"/>
        <family val="2"/>
      </rPr>
      <t>4 K's Cigar Wrapper Flavored 3.25 Lbs net per Case Hmgzd 4/99C
4 K's Cigar Wrapper Flavored 3.25 Lbs net per Case Hmgzd 4/1.29
4 K's Cigar Wrapper Consumer Pack Flavored 3.25 Lbs net per Case Hmgzd</t>
    </r>
  </si>
  <si>
    <r>
      <t xml:space="preserve">Sweetwoods Cigars 720 ct Dark PP Limited
</t>
    </r>
    <r>
      <rPr>
        <sz val="12"/>
        <rFont val="Tahoma"/>
        <family val="2"/>
      </rPr>
      <t>Sweetwoods Cigars Dark flavored 720 ct (Large Cigars) net weight 5.75 lbs per 1 case 2/NP</t>
    </r>
  </si>
  <si>
    <r>
      <t xml:space="preserve">Sweetwoods Wraps Dark Reserve 2 lbs per case limited edition
</t>
    </r>
    <r>
      <rPr>
        <sz val="12"/>
        <rFont val="Tahoma"/>
        <family val="2"/>
      </rPr>
      <t>Sweetwoods Leaf Wrap Dark Flavored Limited Edition 30/2 Wraps/25 Displays 1500 Wraps, 2 Lb. per case</t>
    </r>
  </si>
  <si>
    <r>
      <rPr>
        <b/>
        <sz val="12"/>
        <rFont val="Tahoma"/>
        <family val="2"/>
      </rPr>
      <t>City Life 1800 count cigarillos</t>
    </r>
    <r>
      <rPr>
        <sz val="12"/>
        <rFont val="Tahoma"/>
        <family val="2"/>
      </rPr>
      <t xml:space="preserve">
City Life Cigarillos Flavored 1800 ct (Large Cigars) net weight 13.75 lbs per 1 case 5/$1.39
City Life Cigarillos Flavored 1800 ct (Large Cigars) net weight 13.75 lbs per 1 case 5/$1.49
City Life Cigarillos Flavored 1800 ct (Large Cigars) net weight 13.75 lbs per 1 case 5/$1.59</t>
    </r>
  </si>
  <si>
    <r>
      <rPr>
        <b/>
        <sz val="12"/>
        <rFont val="Tahoma"/>
        <family val="2"/>
      </rPr>
      <t>4 k's cigarillos 1440 ct</t>
    </r>
    <r>
      <rPr>
        <sz val="12"/>
        <rFont val="Tahoma"/>
        <family val="2"/>
      </rPr>
      <t xml:space="preserve">
4 K's Cigarillos flavored 1440 ct (cigars Large) net weight 9.91 lbs per 1 case NP
4 K's Cigarillos flavored 1440 ct (cigars Large) net weight 9.91 lbs per 1 case 4/1.29
4 K's Cigarillos flavored 1440 ct (cigars Large) net weight 9.91 lbs per 1 case 4/1.39
</t>
    </r>
  </si>
  <si>
    <r>
      <rPr>
        <b/>
        <sz val="12"/>
        <rFont val="Tahoma"/>
        <family val="2"/>
      </rPr>
      <t>HD cigarillos 1080 count</t>
    </r>
    <r>
      <rPr>
        <sz val="12"/>
        <rFont val="Tahoma"/>
        <family val="2"/>
      </rPr>
      <t xml:space="preserve">
HD Cigarillos flavored 1080 ct (large cigars) net weight 7.43 lbs per 1 case 3/1.49
HD Cigarillos Flavored 1080 ct (large cigars) net weight 7.43 lbs per 1 case 3/1.39</t>
    </r>
  </si>
  <si>
    <r>
      <rPr>
        <b/>
        <sz val="12"/>
        <rFont val="Tahoma"/>
        <family val="2"/>
      </rPr>
      <t>Sweetwoods Cigars 720 ct 2 PKS, 5 pks, All</t>
    </r>
    <r>
      <rPr>
        <sz val="12"/>
        <rFont val="Tahoma"/>
        <family val="2"/>
      </rPr>
      <t xml:space="preserve">
Sweetwoods Cigars flavored 720 ct (Large Cigars) net weight 5.75 lbs per 1 case No Price
Sweetwoods Cigars flavored 720 ct (Large Cigars) net weight 5.75 lbs per 1 case 2/1.49
Sweetwoods Cigars flavored 720 ct (Large Cigars) net weight 5.75 lbs per 1 case 2/1.69
Sweetwoods Cigars Flavored 720 ct 5Pk (Large Cigars) net weight 5.75 lbs per 1 case
Sweetwoods California Cigars Flavored 720 ct (Large Cigars) net weight 5.75 lbs per 1 case No Price</t>
    </r>
  </si>
  <si>
    <r>
      <t xml:space="preserve">Good Days Cigars Churchill Natural 1000 ct
</t>
    </r>
    <r>
      <rPr>
        <sz val="12"/>
        <rFont val="Tahoma"/>
        <family val="2"/>
      </rPr>
      <t>Good Days Cigars Churchill Natural 1000 ct (Large Cigars) Net Weight 21 lbs per 1 case</t>
    </r>
  </si>
  <si>
    <r>
      <t xml:space="preserve">Good Days Cigars Churchill Maduro 1000 ct
</t>
    </r>
    <r>
      <rPr>
        <sz val="12"/>
        <rFont val="Tahoma"/>
        <family val="2"/>
      </rPr>
      <t>Good Days Cigars Churchill Maduro 1000 ct (Large Cigars) Net Weight 21 lbs per 1 case</t>
    </r>
  </si>
  <si>
    <r>
      <t xml:space="preserve">Good Days Cigars Perfecto Natural 1000 ct
</t>
    </r>
    <r>
      <rPr>
        <sz val="12"/>
        <rFont val="Tahoma"/>
        <family val="2"/>
      </rPr>
      <t>Good Days Cigars Perfecto Natural 1000 ct (Large Cigars) Net Weight 21 lbs per 1 case</t>
    </r>
  </si>
  <si>
    <r>
      <rPr>
        <b/>
        <sz val="12"/>
        <rFont val="Tahoma"/>
        <family val="2"/>
      </rPr>
      <t>Good Days Cigars Toro Natural 1000 ct</t>
    </r>
    <r>
      <rPr>
        <sz val="12"/>
        <rFont val="Tahoma"/>
        <family val="2"/>
      </rPr>
      <t xml:space="preserve">
Good Days Cigars Toro Natural 1000 ct (Large Cigars) Net Weight 21 lbs per 1 case</t>
    </r>
  </si>
  <si>
    <r>
      <t xml:space="preserve">Good Days Cigars Toro Maduro 1000 ct
</t>
    </r>
    <r>
      <rPr>
        <sz val="12"/>
        <rFont val="Tahoma"/>
        <family val="2"/>
      </rPr>
      <t>Good Days Cigars Toro Maduro 1000 ct (Large Cigars) Net Weight 21 lbs per 1 case</t>
    </r>
  </si>
  <si>
    <r>
      <t xml:space="preserve">Good Days Cigars Robusto Maduro 1000 ct
</t>
    </r>
    <r>
      <rPr>
        <sz val="12"/>
        <rFont val="Tahoma"/>
        <family val="2"/>
      </rPr>
      <t>Good Days Cigars Robusto Maduro1000 ct (Large Cigars) Net Weight 21 lbs per 1 case</t>
    </r>
  </si>
  <si>
    <r>
      <t xml:space="preserve">Countryman Cigars Churchill Natural 1000 ct
</t>
    </r>
    <r>
      <rPr>
        <sz val="12"/>
        <rFont val="Tahoma"/>
        <family val="2"/>
      </rPr>
      <t>Countryman Cigars Churchill Natural Flavored 1000 ct (Large Cigars) net weight 21 lbs per 1 case</t>
    </r>
  </si>
  <si>
    <r>
      <t xml:space="preserve">Countryman Cigars Churchill Maduro 1000 ct
</t>
    </r>
    <r>
      <rPr>
        <sz val="12"/>
        <rFont val="Tahoma"/>
        <family val="2"/>
      </rPr>
      <t>Countryman Cigars Churchill Maduro Flavored 1000 ct (Large Cigars) net weight 21 lbs per 1 case</t>
    </r>
  </si>
  <si>
    <r>
      <t xml:space="preserve">Countryman Cigars Robusto Maduro 1000 ct
</t>
    </r>
    <r>
      <rPr>
        <sz val="12"/>
        <rFont val="Tahoma"/>
        <family val="2"/>
      </rPr>
      <t>Countryman Cigars Robusto Maduro Flavored 1000 ct (Large Cigars) net weight 21 lbs per 1 case</t>
    </r>
  </si>
  <si>
    <r>
      <t xml:space="preserve">Countryman Cigars Toro Natural 1000 ct
</t>
    </r>
    <r>
      <rPr>
        <sz val="12"/>
        <rFont val="Tahoma"/>
        <family val="2"/>
      </rPr>
      <t>Countryman Cigars Toro Natural Flavored 1000 ct (Large Cigars) net weight 21 lbs per 1 case</t>
    </r>
  </si>
  <si>
    <r>
      <t xml:space="preserve">Countryman Cigars Toro Maduro 1000 ct
</t>
    </r>
    <r>
      <rPr>
        <sz val="12"/>
        <rFont val="Tahoma"/>
        <family val="2"/>
      </rPr>
      <t>Countryman Cigars Toro Maduro Flavored 1000 ct (Large Cigars) net weight 21 lbs per 1 case</t>
    </r>
  </si>
  <si>
    <r>
      <rPr>
        <b/>
        <sz val="12"/>
        <rFont val="Tahoma"/>
        <family val="2"/>
      </rPr>
      <t>GT cigarillos Reg &amp; Mini &amp; Dark 1080 ct 1800 ct 90 count</t>
    </r>
    <r>
      <rPr>
        <sz val="12"/>
        <rFont val="Tahoma"/>
      </rPr>
      <t xml:space="preserve">
GT Cigarillos Flavored 1080 Ct </t>
    </r>
    <r>
      <rPr>
        <b/>
        <sz val="12"/>
        <rFont val="Tahoma"/>
        <family val="2"/>
      </rPr>
      <t>(</t>
    </r>
    <r>
      <rPr>
        <sz val="12"/>
        <rFont val="Tahoma"/>
      </rPr>
      <t>Large Cigar</t>
    </r>
    <r>
      <rPr>
        <b/>
        <sz val="12"/>
        <rFont val="Tahoma"/>
        <family val="2"/>
      </rPr>
      <t>)</t>
    </r>
    <r>
      <rPr>
        <sz val="12"/>
        <rFont val="Tahoma"/>
      </rPr>
      <t xml:space="preserve"> net Weight 7.43 Lbs per 1 Case 3/1.19</t>
    </r>
    <r>
      <rPr>
        <sz val="12"/>
        <rFont val="Tahoma"/>
        <family val="2"/>
      </rPr>
      <t xml:space="preserve">
GT Cigarillos Mini Flavored 1080 Ct (Large Cigar) net Weight 6.19 Lbs per 1 Case 3/1.19</t>
    </r>
  </si>
  <si>
    <r>
      <t xml:space="preserve">GT Black Smooth cigars Flavored 720ct (large cigars) net weight 5.65 lbs per 1 case 2/$1.19
</t>
    </r>
    <r>
      <rPr>
        <sz val="12"/>
        <rFont val="Tahoma"/>
        <family val="2"/>
      </rPr>
      <t>GT Black Smooth cigars Flavored 720ct (large cigars) net weight 5.65 lbs per 1 case 2/$1.49</t>
    </r>
  </si>
  <si>
    <r>
      <t xml:space="preserve">GT Black Smooth cigars Flavored 750 ct (large cigars) net weight 5.24 lbs per 1 case 79C
</t>
    </r>
    <r>
      <rPr>
        <sz val="12"/>
        <rFont val="Tahoma"/>
        <family val="2"/>
      </rPr>
      <t>GT Black Smooth cigars Flavored 750 ct (large cigars) net weight 5.24 lbs per 1 case 99C</t>
    </r>
  </si>
  <si>
    <r>
      <t xml:space="preserve">Countryman Cigars Robusto Natural 1000 ct
</t>
    </r>
    <r>
      <rPr>
        <sz val="12"/>
        <rFont val="Tahoma"/>
        <family val="2"/>
      </rPr>
      <t>Countryman Cigars Robusto Natural Flavored 1000 ct (Large Cigars) net weight 21 lbs per 1 case</t>
    </r>
  </si>
  <si>
    <r>
      <rPr>
        <b/>
        <sz val="12"/>
        <rFont val="Tahoma"/>
        <family val="2"/>
      </rPr>
      <t>SWEETWOOD NATURAL WHOLE LEAF 24/1 LEAF/10 DISPLAYS 240 LEAVES, 7.56 LBS PER CASE</t>
    </r>
    <r>
      <rPr>
        <sz val="12"/>
        <rFont val="Tahoma"/>
        <family val="2"/>
      </rPr>
      <t xml:space="preserve">
Sweetwoods Natural Whole Leaf 24/1 Leaf/10 Displays 240 Leaves, 7.56 Lb. per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</si>
</sst>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6"/>
      <color rgb="FF1F3864"/>
      <name val="Tahoma"/>
    </font>
    <font>
      <b/>
      <i/>
      <sz val="11"/>
      <color rgb="FF595959"/>
      <name val="Tahoma"/>
    </font>
    <font>
      <b/>
      <sz val="12"/>
      <color rgb="FF0000FF"/>
      <name val="Tahoma"/>
    </font>
    <font>
      <b/>
      <sz val="12"/>
      <color rgb="FFFFFFFF"/>
      <name val="Tahoma"/>
    </font>
    <font>
      <b/>
      <sz val="12"/>
      <name val="Tahoma"/>
    </font>
    <font>
      <b/>
      <sz val="13"/>
      <color rgb="FFFFFFFF"/>
      <name val="Tahoma"/>
    </font>
    <font>
      <sz val="12"/>
      <name val="Tahoma"/>
    </font>
    <font>
      <sz val="12"/>
      <color rgb="FFFF0000"/>
      <name val="Tahoma"/>
    </font>
    <font>
      <b/>
      <sz val="12"/>
      <color rgb="FF1F3864"/>
      <name val="Tahoma"/>
    </font>
    <font>
      <sz val="10"/>
      <color rgb="FF404040"/>
      <name val="Tahoma"/>
    </font>
    <font>
      <b/>
      <sz val="12"/>
      <color rgb="FFC00000"/>
      <name val="Tahoma"/>
    </font>
    <font>
      <b/>
      <sz val="13"/>
      <color rgb="FFFFFFFF"/>
      <name val="Tahoma"/>
      <family val="2"/>
    </font>
    <font>
      <sz val="12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i/>
      <sz val="22"/>
      <color theme="1"/>
      <name val="Calibri"/>
      <family val="2"/>
      <scheme val="minor"/>
    </font>
    <font>
      <b/>
      <sz val="12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horizontal="left" vertical="top" wrapText="1"/>
    </xf>
    <xf numFmtId="0" fontId="16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38" fontId="7" fillId="0" borderId="1" xfId="0" applyNumberFormat="1" applyFont="1" applyBorder="1" applyAlignment="1">
      <alignment horizontal="right" vertical="center"/>
    </xf>
    <xf numFmtId="8" fontId="7" fillId="0" borderId="1" xfId="0" applyNumberFormat="1" applyFont="1" applyBorder="1" applyAlignment="1">
      <alignment horizontal="right" vertical="center"/>
    </xf>
    <xf numFmtId="38" fontId="15" fillId="0" borderId="1" xfId="0" applyNumberFormat="1" applyFont="1" applyBorder="1" applyAlignment="1">
      <alignment horizontal="center" vertical="center"/>
    </xf>
    <xf numFmtId="0" fontId="0" fillId="0" borderId="1" xfId="0" applyBorder="1"/>
    <xf numFmtId="8" fontId="7" fillId="10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 wrapText="1"/>
    </xf>
    <xf numFmtId="38" fontId="7" fillId="6" borderId="1" xfId="0" applyNumberFormat="1" applyFont="1" applyFill="1" applyBorder="1" applyAlignment="1">
      <alignment horizontal="right" vertical="center"/>
    </xf>
    <xf numFmtId="8" fontId="7" fillId="6" borderId="1" xfId="0" applyNumberFormat="1" applyFont="1" applyFill="1" applyBorder="1" applyAlignment="1">
      <alignment horizontal="right" vertical="center"/>
    </xf>
    <xf numFmtId="38" fontId="15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38" fontId="8" fillId="0" borderId="1" xfId="0" applyNumberFormat="1" applyFont="1" applyBorder="1" applyAlignment="1">
      <alignment horizontal="center" vertical="center"/>
    </xf>
    <xf numFmtId="38" fontId="8" fillId="6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5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8" fontId="7" fillId="11" borderId="7" xfId="0" applyNumberFormat="1" applyFont="1" applyFill="1" applyBorder="1" applyAlignment="1">
      <alignment horizontal="right" vertical="center"/>
    </xf>
    <xf numFmtId="0" fontId="7" fillId="6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38" fontId="7" fillId="0" borderId="9" xfId="0" applyNumberFormat="1" applyFont="1" applyBorder="1" applyAlignment="1">
      <alignment horizontal="right" vertical="center"/>
    </xf>
    <xf numFmtId="8" fontId="7" fillId="0" borderId="9" xfId="0" applyNumberFormat="1" applyFont="1" applyBorder="1" applyAlignment="1">
      <alignment horizontal="right" vertical="center"/>
    </xf>
    <xf numFmtId="38" fontId="8" fillId="0" borderId="9" xfId="0" applyNumberFormat="1" applyFont="1" applyBorder="1" applyAlignment="1">
      <alignment horizontal="center" vertical="center"/>
    </xf>
    <xf numFmtId="0" fontId="0" fillId="0" borderId="9" xfId="0" applyBorder="1"/>
    <xf numFmtId="8" fontId="7" fillId="10" borderId="9" xfId="0" applyNumberFormat="1" applyFont="1" applyFill="1" applyBorder="1" applyAlignment="1">
      <alignment horizontal="right" vertical="center"/>
    </xf>
    <xf numFmtId="8" fontId="7" fillId="11" borderId="10" xfId="0" applyNumberFormat="1" applyFont="1" applyFill="1" applyBorder="1" applyAlignment="1">
      <alignment horizontal="right" vertical="center"/>
    </xf>
    <xf numFmtId="8" fontId="7" fillId="13" borderId="1" xfId="0" applyNumberFormat="1" applyFont="1" applyFill="1" applyBorder="1" applyAlignment="1">
      <alignment horizontal="right" vertical="center"/>
    </xf>
    <xf numFmtId="8" fontId="7" fillId="13" borderId="9" xfId="0" applyNumberFormat="1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6" fillId="12" borderId="6" xfId="0" applyFont="1" applyFill="1" applyBorder="1" applyAlignment="1">
      <alignment horizontal="left" vertical="center" indent="1"/>
    </xf>
    <xf numFmtId="0" fontId="0" fillId="12" borderId="1" xfId="0" applyFill="1" applyBorder="1"/>
    <xf numFmtId="0" fontId="0" fillId="12" borderId="7" xfId="0" applyFill="1" applyBorder="1"/>
    <xf numFmtId="0" fontId="6" fillId="9" borderId="6" xfId="0" applyFont="1" applyFill="1" applyBorder="1" applyAlignment="1">
      <alignment horizontal="left" vertical="center" indent="1"/>
    </xf>
    <xf numFmtId="0" fontId="0" fillId="9" borderId="1" xfId="0" applyFill="1" applyBorder="1"/>
    <xf numFmtId="0" fontId="0" fillId="9" borderId="7" xfId="0" applyFill="1" applyBorder="1"/>
    <xf numFmtId="0" fontId="6" fillId="7" borderId="6" xfId="0" applyFont="1" applyFill="1" applyBorder="1" applyAlignment="1">
      <alignment horizontal="left" vertical="center" indent="1"/>
    </xf>
    <xf numFmtId="0" fontId="0" fillId="7" borderId="1" xfId="0" applyFill="1" applyBorder="1"/>
    <xf numFmtId="0" fontId="0" fillId="7" borderId="7" xfId="0" applyFill="1" applyBorder="1"/>
    <xf numFmtId="0" fontId="12" fillId="5" borderId="6" xfId="0" applyFont="1" applyFill="1" applyBorder="1" applyAlignment="1">
      <alignment horizontal="left" vertical="center" indent="1"/>
    </xf>
    <xf numFmtId="0" fontId="0" fillId="5" borderId="1" xfId="0" applyFill="1" applyBorder="1"/>
    <xf numFmtId="0" fontId="0" fillId="5" borderId="7" xfId="0" applyFill="1" applyBorder="1"/>
    <xf numFmtId="0" fontId="6" fillId="8" borderId="6" xfId="0" applyFont="1" applyFill="1" applyBorder="1" applyAlignment="1">
      <alignment horizontal="left" vertical="center" indent="1"/>
    </xf>
    <xf numFmtId="0" fontId="0" fillId="8" borderId="1" xfId="0" applyFill="1" applyBorder="1"/>
    <xf numFmtId="0" fontId="0" fillId="8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0</xdr:row>
      <xdr:rowOff>238125</xdr:rowOff>
    </xdr:from>
    <xdr:to>
      <xdr:col>6</xdr:col>
      <xdr:colOff>914400</xdr:colOff>
      <xdr:row>0</xdr:row>
      <xdr:rowOff>295275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B97AAF1C-8350-0D43-9719-4229218DA9DD}"/>
            </a:ext>
          </a:extLst>
        </xdr:cNvPr>
        <xdr:cNvCxnSpPr/>
      </xdr:nvCxnSpPr>
      <xdr:spPr>
        <a:xfrm>
          <a:off x="8296275" y="238125"/>
          <a:ext cx="285750" cy="5715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1"/>
  <sheetViews>
    <sheetView showGridLines="0" tabSelected="1" zoomScale="70" zoomScaleNormal="70" workbookViewId="0">
      <pane xSplit="3" ySplit="2" topLeftCell="D74" activePane="bottomRight" state="frozen"/>
      <selection pane="topRight"/>
      <selection pane="bottomLeft"/>
      <selection pane="bottomRight" activeCell="C81" sqref="C81"/>
    </sheetView>
  </sheetViews>
  <sheetFormatPr defaultRowHeight="38.1" customHeight="1" x14ac:dyDescent="0.25"/>
  <cols>
    <col min="1" max="1" width="3" hidden="1" customWidth="1"/>
    <col min="2" max="2" width="3.7109375" customWidth="1"/>
    <col min="3" max="3" width="68" customWidth="1"/>
    <col min="4" max="4" width="12.85546875" bestFit="1" customWidth="1"/>
    <col min="5" max="5" width="16" customWidth="1"/>
    <col min="6" max="6" width="11" customWidth="1"/>
    <col min="7" max="7" width="15" customWidth="1"/>
    <col min="8" max="8" width="14" hidden="1" customWidth="1"/>
    <col min="9" max="10" width="15" hidden="1" customWidth="1"/>
    <col min="11" max="11" width="13" hidden="1" customWidth="1"/>
    <col min="12" max="12" width="3" hidden="1" customWidth="1"/>
    <col min="13" max="14" width="15" customWidth="1"/>
  </cols>
  <sheetData>
    <row r="1" spans="2:14" ht="37.5" customHeight="1" thickBot="1" x14ac:dyDescent="0.3">
      <c r="C1" s="1" t="s">
        <v>69</v>
      </c>
      <c r="G1" s="7" t="s">
        <v>64</v>
      </c>
      <c r="K1" s="2" t="s">
        <v>0</v>
      </c>
      <c r="M1" s="22">
        <v>2.1999999999999999E-2</v>
      </c>
      <c r="N1" s="23">
        <v>0.02</v>
      </c>
    </row>
    <row r="2" spans="2:14" ht="38.1" customHeight="1" x14ac:dyDescent="0.25">
      <c r="B2" s="24" t="s">
        <v>1</v>
      </c>
      <c r="C2" s="25" t="s">
        <v>2</v>
      </c>
      <c r="D2" s="25" t="s">
        <v>3</v>
      </c>
      <c r="E2" s="26" t="s">
        <v>61</v>
      </c>
      <c r="F2" s="25" t="s">
        <v>4</v>
      </c>
      <c r="G2" s="26" t="s">
        <v>63</v>
      </c>
      <c r="H2" s="25" t="s">
        <v>5</v>
      </c>
      <c r="I2" s="25" t="s">
        <v>6</v>
      </c>
      <c r="J2" s="25" t="s">
        <v>7</v>
      </c>
      <c r="K2" s="25" t="s">
        <v>8</v>
      </c>
      <c r="L2" s="27"/>
      <c r="M2" s="28" t="s">
        <v>9</v>
      </c>
      <c r="N2" s="29" t="s">
        <v>10</v>
      </c>
    </row>
    <row r="3" spans="2:14" ht="38.1" customHeight="1" x14ac:dyDescent="0.25">
      <c r="B3" s="54" t="s">
        <v>80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</row>
    <row r="4" spans="2:14" ht="38.1" customHeight="1" x14ac:dyDescent="0.25">
      <c r="B4" s="30">
        <v>1</v>
      </c>
      <c r="C4" s="8" t="s">
        <v>70</v>
      </c>
      <c r="D4" s="9">
        <v>750</v>
      </c>
      <c r="E4" s="41">
        <v>122.2</v>
      </c>
      <c r="F4" s="11">
        <v>54</v>
      </c>
      <c r="G4" s="10">
        <v>79</v>
      </c>
      <c r="H4" s="10">
        <f t="shared" ref="H4:H51" si="0">G4+1</f>
        <v>80</v>
      </c>
      <c r="I4" s="10">
        <f t="shared" ref="I4:I51" si="1">H4*52.75%</f>
        <v>42.199999999999996</v>
      </c>
      <c r="J4" s="10">
        <f t="shared" ref="J4:J51" si="2">H4+I4</f>
        <v>122.19999999999999</v>
      </c>
      <c r="K4" s="10">
        <f t="shared" ref="K4:K51" si="3">E4-J4</f>
        <v>0</v>
      </c>
      <c r="L4" s="12"/>
      <c r="M4" s="13">
        <f t="shared" ref="M4:M51" si="4">(G4*$M$1)+G4</f>
        <v>80.738</v>
      </c>
      <c r="N4" s="31">
        <f t="shared" ref="N4:N51" si="5">(G4*$N$1)+G4</f>
        <v>80.58</v>
      </c>
    </row>
    <row r="5" spans="2:14" ht="38.1" customHeight="1" x14ac:dyDescent="0.25">
      <c r="B5" s="32">
        <v>2</v>
      </c>
      <c r="C5" s="14" t="s">
        <v>11</v>
      </c>
      <c r="D5" s="15">
        <v>625</v>
      </c>
      <c r="E5" s="41">
        <v>97.76</v>
      </c>
      <c r="F5" s="17">
        <v>120</v>
      </c>
      <c r="G5" s="16">
        <v>63</v>
      </c>
      <c r="H5" s="16">
        <f t="shared" si="0"/>
        <v>64</v>
      </c>
      <c r="I5" s="16">
        <f t="shared" si="1"/>
        <v>33.76</v>
      </c>
      <c r="J5" s="16">
        <f t="shared" si="2"/>
        <v>97.759999999999991</v>
      </c>
      <c r="K5" s="16">
        <f t="shared" si="3"/>
        <v>0</v>
      </c>
      <c r="L5" s="12"/>
      <c r="M5" s="13">
        <f t="shared" si="4"/>
        <v>64.385999999999996</v>
      </c>
      <c r="N5" s="31">
        <f t="shared" si="5"/>
        <v>64.260000000000005</v>
      </c>
    </row>
    <row r="6" spans="2:14" ht="38.1" customHeight="1" x14ac:dyDescent="0.25">
      <c r="B6" s="30">
        <v>3</v>
      </c>
      <c r="C6" s="18" t="s">
        <v>12</v>
      </c>
      <c r="D6" s="9">
        <v>720</v>
      </c>
      <c r="E6" s="41">
        <v>114.56</v>
      </c>
      <c r="F6" s="11">
        <v>44</v>
      </c>
      <c r="G6" s="10">
        <v>74</v>
      </c>
      <c r="H6" s="10">
        <f t="shared" si="0"/>
        <v>75</v>
      </c>
      <c r="I6" s="10">
        <f t="shared" si="1"/>
        <v>39.5625</v>
      </c>
      <c r="J6" s="10">
        <f t="shared" si="2"/>
        <v>114.5625</v>
      </c>
      <c r="K6" s="10">
        <f t="shared" si="3"/>
        <v>-2.4999999999977263E-3</v>
      </c>
      <c r="L6" s="12"/>
      <c r="M6" s="13">
        <f t="shared" si="4"/>
        <v>75.628</v>
      </c>
      <c r="N6" s="31">
        <f t="shared" si="5"/>
        <v>75.48</v>
      </c>
    </row>
    <row r="7" spans="2:14" ht="38.1" customHeight="1" x14ac:dyDescent="0.25">
      <c r="B7" s="32">
        <v>4</v>
      </c>
      <c r="C7" s="19" t="s">
        <v>13</v>
      </c>
      <c r="D7" s="15">
        <v>480</v>
      </c>
      <c r="E7" s="41">
        <v>687.38</v>
      </c>
      <c r="F7" s="17">
        <v>20</v>
      </c>
      <c r="G7" s="16">
        <v>449</v>
      </c>
      <c r="H7" s="16">
        <f t="shared" si="0"/>
        <v>450</v>
      </c>
      <c r="I7" s="16">
        <f t="shared" si="1"/>
        <v>237.375</v>
      </c>
      <c r="J7" s="16">
        <f t="shared" si="2"/>
        <v>687.375</v>
      </c>
      <c r="K7" s="16">
        <f t="shared" si="3"/>
        <v>4.9999999999954525E-3</v>
      </c>
      <c r="L7" s="12"/>
      <c r="M7" s="13">
        <f t="shared" si="4"/>
        <v>458.87799999999999</v>
      </c>
      <c r="N7" s="31">
        <f t="shared" si="5"/>
        <v>457.98</v>
      </c>
    </row>
    <row r="8" spans="2:14" ht="38.1" customHeight="1" x14ac:dyDescent="0.25">
      <c r="B8" s="30">
        <v>5</v>
      </c>
      <c r="C8" s="18" t="s">
        <v>14</v>
      </c>
      <c r="D8" s="9">
        <v>480</v>
      </c>
      <c r="E8" s="41">
        <v>641.54999999999995</v>
      </c>
      <c r="F8" s="11">
        <v>20</v>
      </c>
      <c r="G8" s="10">
        <v>419</v>
      </c>
      <c r="H8" s="10">
        <f t="shared" si="0"/>
        <v>420</v>
      </c>
      <c r="I8" s="10">
        <f t="shared" si="1"/>
        <v>221.54999999999998</v>
      </c>
      <c r="J8" s="10">
        <f t="shared" si="2"/>
        <v>641.54999999999995</v>
      </c>
      <c r="K8" s="10">
        <f t="shared" si="3"/>
        <v>0</v>
      </c>
      <c r="L8" s="12"/>
      <c r="M8" s="13">
        <f t="shared" si="4"/>
        <v>428.21800000000002</v>
      </c>
      <c r="N8" s="31">
        <f t="shared" si="5"/>
        <v>427.38</v>
      </c>
    </row>
    <row r="9" spans="2:14" ht="38.1" customHeight="1" x14ac:dyDescent="0.25">
      <c r="B9" s="32">
        <v>6</v>
      </c>
      <c r="C9" s="19" t="s">
        <v>15</v>
      </c>
      <c r="D9" s="15">
        <v>900</v>
      </c>
      <c r="E9" s="41">
        <v>79.430000000000007</v>
      </c>
      <c r="F9" s="17">
        <v>42</v>
      </c>
      <c r="G9" s="16">
        <v>51</v>
      </c>
      <c r="H9" s="16">
        <f t="shared" si="0"/>
        <v>52</v>
      </c>
      <c r="I9" s="16">
        <f t="shared" si="1"/>
        <v>27.43</v>
      </c>
      <c r="J9" s="16">
        <f t="shared" si="2"/>
        <v>79.430000000000007</v>
      </c>
      <c r="K9" s="16">
        <f t="shared" si="3"/>
        <v>0</v>
      </c>
      <c r="L9" s="12"/>
      <c r="M9" s="13">
        <f t="shared" si="4"/>
        <v>52.122</v>
      </c>
      <c r="N9" s="31">
        <f t="shared" si="5"/>
        <v>52.02</v>
      </c>
    </row>
    <row r="10" spans="2:14" ht="38.1" customHeight="1" x14ac:dyDescent="0.25">
      <c r="B10" s="30">
        <v>7</v>
      </c>
      <c r="C10" s="18" t="s">
        <v>16</v>
      </c>
      <c r="D10" s="9">
        <v>60</v>
      </c>
      <c r="E10" s="41">
        <v>99.05</v>
      </c>
      <c r="F10" s="11">
        <v>60</v>
      </c>
      <c r="G10" s="10">
        <v>52</v>
      </c>
      <c r="H10" s="10">
        <f t="shared" si="0"/>
        <v>53</v>
      </c>
      <c r="I10" s="10">
        <f t="shared" si="1"/>
        <v>27.9575</v>
      </c>
      <c r="J10" s="10">
        <f t="shared" si="2"/>
        <v>80.957499999999996</v>
      </c>
      <c r="K10" s="10">
        <f t="shared" si="3"/>
        <v>18.092500000000001</v>
      </c>
      <c r="L10" s="12"/>
      <c r="M10" s="13">
        <f t="shared" si="4"/>
        <v>53.143999999999998</v>
      </c>
      <c r="N10" s="31">
        <f t="shared" si="5"/>
        <v>53.04</v>
      </c>
    </row>
    <row r="11" spans="2:14" ht="45" x14ac:dyDescent="0.25">
      <c r="B11" s="32">
        <v>8</v>
      </c>
      <c r="C11" s="43" t="s">
        <v>99</v>
      </c>
      <c r="D11" s="15">
        <v>1000</v>
      </c>
      <c r="E11" s="41">
        <v>406.32</v>
      </c>
      <c r="F11" s="17">
        <v>20</v>
      </c>
      <c r="G11" s="16">
        <v>265</v>
      </c>
      <c r="H11" s="16">
        <f t="shared" si="0"/>
        <v>266</v>
      </c>
      <c r="I11" s="16">
        <f t="shared" si="1"/>
        <v>140.315</v>
      </c>
      <c r="J11" s="16">
        <f t="shared" si="2"/>
        <v>406.315</v>
      </c>
      <c r="K11" s="16">
        <f t="shared" si="3"/>
        <v>4.9999999999954525E-3</v>
      </c>
      <c r="L11" s="12"/>
      <c r="M11" s="13">
        <f t="shared" si="4"/>
        <v>270.83</v>
      </c>
      <c r="N11" s="31">
        <f t="shared" si="5"/>
        <v>270.3</v>
      </c>
    </row>
    <row r="12" spans="2:14" ht="45" x14ac:dyDescent="0.25">
      <c r="B12" s="30">
        <v>9</v>
      </c>
      <c r="C12" s="44" t="s">
        <v>98</v>
      </c>
      <c r="D12" s="9">
        <v>1000</v>
      </c>
      <c r="E12" s="41">
        <v>397.15</v>
      </c>
      <c r="F12" s="11">
        <v>20</v>
      </c>
      <c r="G12" s="10">
        <v>259</v>
      </c>
      <c r="H12" s="10">
        <f t="shared" si="0"/>
        <v>260</v>
      </c>
      <c r="I12" s="10">
        <f t="shared" si="1"/>
        <v>137.15</v>
      </c>
      <c r="J12" s="10">
        <f t="shared" si="2"/>
        <v>397.15</v>
      </c>
      <c r="K12" s="10">
        <f t="shared" si="3"/>
        <v>0</v>
      </c>
      <c r="L12" s="12"/>
      <c r="M12" s="13">
        <f t="shared" si="4"/>
        <v>264.69799999999998</v>
      </c>
      <c r="N12" s="31">
        <f t="shared" si="5"/>
        <v>264.18</v>
      </c>
    </row>
    <row r="13" spans="2:14" ht="45" x14ac:dyDescent="0.25">
      <c r="B13" s="32">
        <v>10</v>
      </c>
      <c r="C13" s="43" t="s">
        <v>100</v>
      </c>
      <c r="D13" s="15">
        <v>1000</v>
      </c>
      <c r="E13" s="41">
        <v>326.89</v>
      </c>
      <c r="F13" s="17">
        <v>20</v>
      </c>
      <c r="G13" s="16">
        <v>213</v>
      </c>
      <c r="H13" s="16">
        <f t="shared" si="0"/>
        <v>214</v>
      </c>
      <c r="I13" s="16">
        <f t="shared" si="1"/>
        <v>112.88499999999999</v>
      </c>
      <c r="J13" s="16">
        <f t="shared" si="2"/>
        <v>326.88499999999999</v>
      </c>
      <c r="K13" s="16">
        <f t="shared" si="3"/>
        <v>4.9999999999954525E-3</v>
      </c>
      <c r="L13" s="12"/>
      <c r="M13" s="13">
        <f t="shared" si="4"/>
        <v>217.68600000000001</v>
      </c>
      <c r="N13" s="31">
        <f t="shared" si="5"/>
        <v>217.26</v>
      </c>
    </row>
    <row r="14" spans="2:14" ht="45" x14ac:dyDescent="0.25">
      <c r="B14" s="30">
        <v>11</v>
      </c>
      <c r="C14" s="44" t="s">
        <v>106</v>
      </c>
      <c r="D14" s="9">
        <v>1000</v>
      </c>
      <c r="E14" s="41">
        <v>310.08</v>
      </c>
      <c r="F14" s="11">
        <v>20</v>
      </c>
      <c r="G14" s="10">
        <v>202</v>
      </c>
      <c r="H14" s="10">
        <f t="shared" si="0"/>
        <v>203</v>
      </c>
      <c r="I14" s="10">
        <f t="shared" si="1"/>
        <v>107.0825</v>
      </c>
      <c r="J14" s="10">
        <f t="shared" si="2"/>
        <v>310.08249999999998</v>
      </c>
      <c r="K14" s="10">
        <f t="shared" si="3"/>
        <v>-2.4999999999977263E-3</v>
      </c>
      <c r="L14" s="12"/>
      <c r="M14" s="13">
        <f t="shared" si="4"/>
        <v>206.44399999999999</v>
      </c>
      <c r="N14" s="31">
        <f t="shared" si="5"/>
        <v>206.04</v>
      </c>
    </row>
    <row r="15" spans="2:14" ht="45" x14ac:dyDescent="0.25">
      <c r="B15" s="32">
        <v>12</v>
      </c>
      <c r="C15" s="43" t="s">
        <v>102</v>
      </c>
      <c r="D15" s="15">
        <v>1000</v>
      </c>
      <c r="E15" s="41">
        <v>406.32</v>
      </c>
      <c r="F15" s="17">
        <v>20</v>
      </c>
      <c r="G15" s="16">
        <v>265</v>
      </c>
      <c r="H15" s="16">
        <f t="shared" si="0"/>
        <v>266</v>
      </c>
      <c r="I15" s="16">
        <f t="shared" si="1"/>
        <v>140.315</v>
      </c>
      <c r="J15" s="16">
        <f t="shared" si="2"/>
        <v>406.315</v>
      </c>
      <c r="K15" s="16">
        <f t="shared" si="3"/>
        <v>4.9999999999954525E-3</v>
      </c>
      <c r="L15" s="12"/>
      <c r="M15" s="13">
        <f t="shared" si="4"/>
        <v>270.83</v>
      </c>
      <c r="N15" s="31">
        <f t="shared" si="5"/>
        <v>270.3</v>
      </c>
    </row>
    <row r="16" spans="2:14" ht="45" x14ac:dyDescent="0.25">
      <c r="B16" s="30">
        <v>13</v>
      </c>
      <c r="C16" s="44" t="s">
        <v>101</v>
      </c>
      <c r="D16" s="9">
        <v>1000</v>
      </c>
      <c r="E16" s="41">
        <v>397.15</v>
      </c>
      <c r="F16" s="11">
        <v>20</v>
      </c>
      <c r="G16" s="10">
        <v>259</v>
      </c>
      <c r="H16" s="10">
        <f t="shared" si="0"/>
        <v>260</v>
      </c>
      <c r="I16" s="10">
        <f t="shared" si="1"/>
        <v>137.15</v>
      </c>
      <c r="J16" s="10">
        <f t="shared" si="2"/>
        <v>397.15</v>
      </c>
      <c r="K16" s="10">
        <f t="shared" si="3"/>
        <v>0</v>
      </c>
      <c r="L16" s="12"/>
      <c r="M16" s="13">
        <f t="shared" si="4"/>
        <v>264.69799999999998</v>
      </c>
      <c r="N16" s="31">
        <f t="shared" si="5"/>
        <v>264.18</v>
      </c>
    </row>
    <row r="17" spans="2:14" ht="38.1" customHeight="1" x14ac:dyDescent="0.25">
      <c r="B17" s="32">
        <v>14</v>
      </c>
      <c r="C17" s="19" t="s">
        <v>17</v>
      </c>
      <c r="D17" s="15">
        <v>1125</v>
      </c>
      <c r="E17" s="41">
        <v>112</v>
      </c>
      <c r="F17" s="17">
        <v>60</v>
      </c>
      <c r="G17" s="16">
        <v>61</v>
      </c>
      <c r="H17" s="16">
        <f t="shared" si="0"/>
        <v>62</v>
      </c>
      <c r="I17" s="16">
        <f t="shared" si="1"/>
        <v>32.704999999999998</v>
      </c>
      <c r="J17" s="16">
        <f t="shared" si="2"/>
        <v>94.704999999999998</v>
      </c>
      <c r="K17" s="16">
        <f t="shared" si="3"/>
        <v>17.295000000000002</v>
      </c>
      <c r="L17" s="12"/>
      <c r="M17" s="13">
        <f t="shared" si="4"/>
        <v>62.341999999999999</v>
      </c>
      <c r="N17" s="31">
        <f t="shared" si="5"/>
        <v>62.22</v>
      </c>
    </row>
    <row r="18" spans="2:14" ht="38.1" customHeight="1" x14ac:dyDescent="0.25">
      <c r="B18" s="30">
        <v>15</v>
      </c>
      <c r="C18" s="18" t="s">
        <v>18</v>
      </c>
      <c r="D18" s="9">
        <v>60</v>
      </c>
      <c r="E18" s="41">
        <v>112</v>
      </c>
      <c r="F18" s="11">
        <v>42</v>
      </c>
      <c r="G18" s="10">
        <v>62</v>
      </c>
      <c r="H18" s="10">
        <f t="shared" si="0"/>
        <v>63</v>
      </c>
      <c r="I18" s="10">
        <f t="shared" si="1"/>
        <v>33.232499999999995</v>
      </c>
      <c r="J18" s="10">
        <f t="shared" si="2"/>
        <v>96.232499999999987</v>
      </c>
      <c r="K18" s="10">
        <f t="shared" si="3"/>
        <v>15.767500000000013</v>
      </c>
      <c r="L18" s="12"/>
      <c r="M18" s="13">
        <f t="shared" si="4"/>
        <v>63.363999999999997</v>
      </c>
      <c r="N18" s="31">
        <f t="shared" si="5"/>
        <v>63.24</v>
      </c>
    </row>
    <row r="19" spans="2:14" ht="45" x14ac:dyDescent="0.25">
      <c r="B19" s="32">
        <v>16</v>
      </c>
      <c r="C19" s="43" t="s">
        <v>93</v>
      </c>
      <c r="D19" s="15">
        <v>1000</v>
      </c>
      <c r="E19" s="41">
        <v>406.32</v>
      </c>
      <c r="F19" s="17">
        <v>20</v>
      </c>
      <c r="G19" s="16">
        <v>265</v>
      </c>
      <c r="H19" s="16">
        <f t="shared" si="0"/>
        <v>266</v>
      </c>
      <c r="I19" s="16">
        <f t="shared" si="1"/>
        <v>140.315</v>
      </c>
      <c r="J19" s="16">
        <f t="shared" si="2"/>
        <v>406.315</v>
      </c>
      <c r="K19" s="16">
        <f t="shared" si="3"/>
        <v>4.9999999999954525E-3</v>
      </c>
      <c r="L19" s="12"/>
      <c r="M19" s="13">
        <f t="shared" si="4"/>
        <v>270.83</v>
      </c>
      <c r="N19" s="31">
        <f t="shared" si="5"/>
        <v>270.3</v>
      </c>
    </row>
    <row r="20" spans="2:14" ht="45" x14ac:dyDescent="0.25">
      <c r="B20" s="30">
        <v>17</v>
      </c>
      <c r="C20" s="44" t="s">
        <v>92</v>
      </c>
      <c r="D20" s="9">
        <v>1000</v>
      </c>
      <c r="E20" s="41">
        <v>397.15</v>
      </c>
      <c r="F20" s="11">
        <v>20</v>
      </c>
      <c r="G20" s="10">
        <v>259</v>
      </c>
      <c r="H20" s="10">
        <f t="shared" si="0"/>
        <v>260</v>
      </c>
      <c r="I20" s="10">
        <f t="shared" si="1"/>
        <v>137.15</v>
      </c>
      <c r="J20" s="10">
        <f t="shared" si="2"/>
        <v>397.15</v>
      </c>
      <c r="K20" s="10">
        <f t="shared" si="3"/>
        <v>0</v>
      </c>
      <c r="L20" s="12"/>
      <c r="M20" s="13">
        <f t="shared" si="4"/>
        <v>264.69799999999998</v>
      </c>
      <c r="N20" s="31">
        <f t="shared" si="5"/>
        <v>264.18</v>
      </c>
    </row>
    <row r="21" spans="2:14" ht="38.1" customHeight="1" x14ac:dyDescent="0.25">
      <c r="B21" s="32">
        <v>18</v>
      </c>
      <c r="C21" s="19" t="s">
        <v>19</v>
      </c>
      <c r="D21" s="15">
        <v>1000</v>
      </c>
      <c r="E21" s="41">
        <v>398.68</v>
      </c>
      <c r="F21" s="17">
        <v>20</v>
      </c>
      <c r="G21" s="16">
        <v>260</v>
      </c>
      <c r="H21" s="16">
        <f t="shared" si="0"/>
        <v>261</v>
      </c>
      <c r="I21" s="16">
        <f t="shared" si="1"/>
        <v>137.67749999999998</v>
      </c>
      <c r="J21" s="16">
        <f t="shared" si="2"/>
        <v>398.67750000000001</v>
      </c>
      <c r="K21" s="16">
        <f t="shared" si="3"/>
        <v>2.4999999999977263E-3</v>
      </c>
      <c r="L21" s="12"/>
      <c r="M21" s="13">
        <f t="shared" si="4"/>
        <v>265.72000000000003</v>
      </c>
      <c r="N21" s="31">
        <f t="shared" si="5"/>
        <v>265.2</v>
      </c>
    </row>
    <row r="22" spans="2:14" ht="38.1" customHeight="1" x14ac:dyDescent="0.25">
      <c r="B22" s="30">
        <v>19</v>
      </c>
      <c r="C22" s="18" t="s">
        <v>20</v>
      </c>
      <c r="D22" s="9">
        <v>1000</v>
      </c>
      <c r="E22" s="41">
        <v>333</v>
      </c>
      <c r="F22" s="11">
        <v>20</v>
      </c>
      <c r="G22" s="10">
        <v>217</v>
      </c>
      <c r="H22" s="10">
        <f t="shared" si="0"/>
        <v>218</v>
      </c>
      <c r="I22" s="10">
        <f t="shared" si="1"/>
        <v>114.99499999999999</v>
      </c>
      <c r="J22" s="10">
        <f t="shared" si="2"/>
        <v>332.995</v>
      </c>
      <c r="K22" s="10">
        <f t="shared" si="3"/>
        <v>4.9999999999954525E-3</v>
      </c>
      <c r="L22" s="12"/>
      <c r="M22" s="13">
        <f t="shared" si="4"/>
        <v>221.774</v>
      </c>
      <c r="N22" s="31">
        <f t="shared" si="5"/>
        <v>221.34</v>
      </c>
    </row>
    <row r="23" spans="2:14" ht="45" x14ac:dyDescent="0.25">
      <c r="B23" s="32">
        <v>20</v>
      </c>
      <c r="C23" s="43" t="s">
        <v>94</v>
      </c>
      <c r="D23" s="15">
        <v>1000</v>
      </c>
      <c r="E23" s="41">
        <v>296.33999999999997</v>
      </c>
      <c r="F23" s="17">
        <v>20</v>
      </c>
      <c r="G23" s="16">
        <v>193</v>
      </c>
      <c r="H23" s="16">
        <f t="shared" si="0"/>
        <v>194</v>
      </c>
      <c r="I23" s="16">
        <f t="shared" si="1"/>
        <v>102.33499999999999</v>
      </c>
      <c r="J23" s="16">
        <f t="shared" si="2"/>
        <v>296.33499999999998</v>
      </c>
      <c r="K23" s="16">
        <f t="shared" si="3"/>
        <v>4.9999999999954525E-3</v>
      </c>
      <c r="L23" s="12"/>
      <c r="M23" s="13">
        <f t="shared" si="4"/>
        <v>197.24600000000001</v>
      </c>
      <c r="N23" s="31">
        <f t="shared" si="5"/>
        <v>196.86</v>
      </c>
    </row>
    <row r="24" spans="2:14" ht="38.1" customHeight="1" x14ac:dyDescent="0.25">
      <c r="B24" s="30">
        <v>21</v>
      </c>
      <c r="C24" s="18" t="s">
        <v>21</v>
      </c>
      <c r="D24" s="9">
        <v>1000</v>
      </c>
      <c r="E24" s="41">
        <v>291.75</v>
      </c>
      <c r="F24" s="11">
        <v>20</v>
      </c>
      <c r="G24" s="10">
        <v>190</v>
      </c>
      <c r="H24" s="10">
        <f t="shared" si="0"/>
        <v>191</v>
      </c>
      <c r="I24" s="10">
        <f t="shared" si="1"/>
        <v>100.7525</v>
      </c>
      <c r="J24" s="10">
        <f t="shared" si="2"/>
        <v>291.7525</v>
      </c>
      <c r="K24" s="10">
        <f t="shared" si="3"/>
        <v>-2.4999999999977263E-3</v>
      </c>
      <c r="L24" s="12"/>
      <c r="M24" s="13">
        <f t="shared" si="4"/>
        <v>194.18</v>
      </c>
      <c r="N24" s="31">
        <f t="shared" si="5"/>
        <v>193.8</v>
      </c>
    </row>
    <row r="25" spans="2:14" ht="45" x14ac:dyDescent="0.25">
      <c r="B25" s="32">
        <v>22</v>
      </c>
      <c r="C25" s="43" t="s">
        <v>97</v>
      </c>
      <c r="D25" s="15">
        <v>1000</v>
      </c>
      <c r="E25" s="41">
        <v>326.89</v>
      </c>
      <c r="F25" s="17">
        <v>20</v>
      </c>
      <c r="G25" s="16">
        <v>213</v>
      </c>
      <c r="H25" s="16">
        <f t="shared" si="0"/>
        <v>214</v>
      </c>
      <c r="I25" s="16">
        <f t="shared" si="1"/>
        <v>112.88499999999999</v>
      </c>
      <c r="J25" s="16">
        <f t="shared" si="2"/>
        <v>326.88499999999999</v>
      </c>
      <c r="K25" s="16">
        <f t="shared" si="3"/>
        <v>4.9999999999954525E-3</v>
      </c>
      <c r="L25" s="12"/>
      <c r="M25" s="13">
        <f t="shared" si="4"/>
        <v>217.68600000000001</v>
      </c>
      <c r="N25" s="31">
        <f t="shared" si="5"/>
        <v>217.26</v>
      </c>
    </row>
    <row r="26" spans="2:14" ht="38.1" customHeight="1" x14ac:dyDescent="0.25">
      <c r="B26" s="30">
        <v>23</v>
      </c>
      <c r="C26" s="18" t="s">
        <v>22</v>
      </c>
      <c r="D26" s="9">
        <v>1000</v>
      </c>
      <c r="E26" s="41">
        <v>310.08</v>
      </c>
      <c r="F26" s="11">
        <v>20</v>
      </c>
      <c r="G26" s="10">
        <v>202</v>
      </c>
      <c r="H26" s="10">
        <f t="shared" si="0"/>
        <v>203</v>
      </c>
      <c r="I26" s="10">
        <f t="shared" si="1"/>
        <v>107.0825</v>
      </c>
      <c r="J26" s="10">
        <f t="shared" si="2"/>
        <v>310.08249999999998</v>
      </c>
      <c r="K26" s="10">
        <f t="shared" si="3"/>
        <v>-2.4999999999977263E-3</v>
      </c>
      <c r="L26" s="12"/>
      <c r="M26" s="13">
        <f t="shared" si="4"/>
        <v>206.44399999999999</v>
      </c>
      <c r="N26" s="31">
        <f t="shared" si="5"/>
        <v>206.04</v>
      </c>
    </row>
    <row r="27" spans="2:14" ht="45" x14ac:dyDescent="0.25">
      <c r="B27" s="32">
        <v>24</v>
      </c>
      <c r="C27" s="43" t="s">
        <v>96</v>
      </c>
      <c r="D27" s="15">
        <v>1000</v>
      </c>
      <c r="E27" s="41">
        <v>406.32</v>
      </c>
      <c r="F27" s="17">
        <v>20</v>
      </c>
      <c r="G27" s="16">
        <v>265</v>
      </c>
      <c r="H27" s="16">
        <f t="shared" si="0"/>
        <v>266</v>
      </c>
      <c r="I27" s="16">
        <f t="shared" si="1"/>
        <v>140.315</v>
      </c>
      <c r="J27" s="16">
        <f t="shared" si="2"/>
        <v>406.315</v>
      </c>
      <c r="K27" s="16">
        <f t="shared" si="3"/>
        <v>4.9999999999954525E-3</v>
      </c>
      <c r="L27" s="12"/>
      <c r="M27" s="13">
        <f t="shared" si="4"/>
        <v>270.83</v>
      </c>
      <c r="N27" s="31">
        <f t="shared" si="5"/>
        <v>270.3</v>
      </c>
    </row>
    <row r="28" spans="2:14" ht="45" x14ac:dyDescent="0.25">
      <c r="B28" s="30">
        <v>25</v>
      </c>
      <c r="C28" s="8" t="s">
        <v>95</v>
      </c>
      <c r="D28" s="9">
        <v>1000</v>
      </c>
      <c r="E28" s="41">
        <v>397.15</v>
      </c>
      <c r="F28" s="11">
        <v>20</v>
      </c>
      <c r="G28" s="10">
        <v>259</v>
      </c>
      <c r="H28" s="10">
        <f t="shared" si="0"/>
        <v>260</v>
      </c>
      <c r="I28" s="10">
        <f t="shared" si="1"/>
        <v>137.15</v>
      </c>
      <c r="J28" s="10">
        <f t="shared" si="2"/>
        <v>397.15</v>
      </c>
      <c r="K28" s="10">
        <f t="shared" si="3"/>
        <v>0</v>
      </c>
      <c r="L28" s="12"/>
      <c r="M28" s="13">
        <f t="shared" si="4"/>
        <v>264.69799999999998</v>
      </c>
      <c r="N28" s="31">
        <f t="shared" si="5"/>
        <v>264.18</v>
      </c>
    </row>
    <row r="29" spans="2:14" ht="60" x14ac:dyDescent="0.25">
      <c r="B29" s="32">
        <v>26</v>
      </c>
      <c r="C29" s="43" t="s">
        <v>104</v>
      </c>
      <c r="D29" s="15">
        <v>720</v>
      </c>
      <c r="E29" s="41">
        <v>134.41999999999999</v>
      </c>
      <c r="F29" s="17">
        <v>44</v>
      </c>
      <c r="G29" s="16">
        <v>87</v>
      </c>
      <c r="H29" s="16">
        <f t="shared" si="0"/>
        <v>88</v>
      </c>
      <c r="I29" s="16">
        <f t="shared" si="1"/>
        <v>46.419999999999995</v>
      </c>
      <c r="J29" s="16">
        <f t="shared" si="2"/>
        <v>134.41999999999999</v>
      </c>
      <c r="K29" s="16">
        <f t="shared" si="3"/>
        <v>0</v>
      </c>
      <c r="L29" s="12"/>
      <c r="M29" s="13">
        <f t="shared" si="4"/>
        <v>88.914000000000001</v>
      </c>
      <c r="N29" s="31">
        <f t="shared" si="5"/>
        <v>88.74</v>
      </c>
    </row>
    <row r="30" spans="2:14" ht="60" x14ac:dyDescent="0.25">
      <c r="B30" s="30">
        <v>27</v>
      </c>
      <c r="C30" s="44" t="s">
        <v>105</v>
      </c>
      <c r="D30" s="9">
        <v>750</v>
      </c>
      <c r="E30" s="41">
        <v>140.53</v>
      </c>
      <c r="F30" s="11">
        <v>48</v>
      </c>
      <c r="G30" s="10">
        <v>91</v>
      </c>
      <c r="H30" s="10">
        <f t="shared" si="0"/>
        <v>92</v>
      </c>
      <c r="I30" s="10">
        <f t="shared" si="1"/>
        <v>48.529999999999994</v>
      </c>
      <c r="J30" s="10">
        <f t="shared" si="2"/>
        <v>140.53</v>
      </c>
      <c r="K30" s="10">
        <f t="shared" si="3"/>
        <v>0</v>
      </c>
      <c r="L30" s="12"/>
      <c r="M30" s="13">
        <f t="shared" si="4"/>
        <v>93.001999999999995</v>
      </c>
      <c r="N30" s="31">
        <f t="shared" si="5"/>
        <v>92.82</v>
      </c>
    </row>
    <row r="31" spans="2:14" ht="38.1" customHeight="1" x14ac:dyDescent="0.25">
      <c r="B31" s="32">
        <v>28</v>
      </c>
      <c r="C31" s="19" t="s">
        <v>23</v>
      </c>
      <c r="D31" s="15">
        <v>720</v>
      </c>
      <c r="E31" s="41">
        <v>154.28</v>
      </c>
      <c r="F31" s="17">
        <v>35</v>
      </c>
      <c r="G31" s="16">
        <v>100</v>
      </c>
      <c r="H31" s="16">
        <f t="shared" si="0"/>
        <v>101</v>
      </c>
      <c r="I31" s="16">
        <f t="shared" si="1"/>
        <v>53.277499999999996</v>
      </c>
      <c r="J31" s="16">
        <f t="shared" si="2"/>
        <v>154.2775</v>
      </c>
      <c r="K31" s="16">
        <f t="shared" si="3"/>
        <v>2.4999999999977263E-3</v>
      </c>
      <c r="L31" s="12"/>
      <c r="M31" s="13">
        <f t="shared" si="4"/>
        <v>102.2</v>
      </c>
      <c r="N31" s="31">
        <f t="shared" si="5"/>
        <v>102</v>
      </c>
    </row>
    <row r="32" spans="2:14" ht="38.1" customHeight="1" x14ac:dyDescent="0.25">
      <c r="B32" s="30">
        <v>29</v>
      </c>
      <c r="C32" s="18" t="s">
        <v>24</v>
      </c>
      <c r="D32" s="9">
        <v>1500</v>
      </c>
      <c r="E32" s="41">
        <v>459.93</v>
      </c>
      <c r="F32" s="11">
        <v>42</v>
      </c>
      <c r="G32" s="10">
        <v>300.10000000000002</v>
      </c>
      <c r="H32" s="10">
        <f t="shared" si="0"/>
        <v>301.10000000000002</v>
      </c>
      <c r="I32" s="10">
        <f t="shared" si="1"/>
        <v>158.83025000000001</v>
      </c>
      <c r="J32" s="10">
        <f t="shared" si="2"/>
        <v>459.93025</v>
      </c>
      <c r="K32" s="10">
        <f t="shared" si="3"/>
        <v>-2.4999999999408828E-4</v>
      </c>
      <c r="L32" s="12"/>
      <c r="M32" s="13">
        <f t="shared" si="4"/>
        <v>306.7022</v>
      </c>
      <c r="N32" s="31">
        <f t="shared" si="5"/>
        <v>306.10200000000003</v>
      </c>
    </row>
    <row r="33" spans="2:14" ht="38.1" customHeight="1" x14ac:dyDescent="0.25">
      <c r="B33" s="32">
        <v>30</v>
      </c>
      <c r="C33" s="19" t="s">
        <v>25</v>
      </c>
      <c r="D33" s="15">
        <v>960</v>
      </c>
      <c r="E33" s="41">
        <v>154.28</v>
      </c>
      <c r="F33" s="17">
        <v>42</v>
      </c>
      <c r="G33" s="16">
        <v>100</v>
      </c>
      <c r="H33" s="16">
        <f t="shared" si="0"/>
        <v>101</v>
      </c>
      <c r="I33" s="16">
        <f t="shared" si="1"/>
        <v>53.277499999999996</v>
      </c>
      <c r="J33" s="16">
        <f t="shared" si="2"/>
        <v>154.2775</v>
      </c>
      <c r="K33" s="16">
        <f t="shared" si="3"/>
        <v>2.4999999999977263E-3</v>
      </c>
      <c r="L33" s="12"/>
      <c r="M33" s="13">
        <f t="shared" si="4"/>
        <v>102.2</v>
      </c>
      <c r="N33" s="31">
        <f t="shared" si="5"/>
        <v>102</v>
      </c>
    </row>
    <row r="34" spans="2:14" ht="38.1" customHeight="1" x14ac:dyDescent="0.25">
      <c r="B34" s="30">
        <v>31</v>
      </c>
      <c r="C34" s="18" t="s">
        <v>26</v>
      </c>
      <c r="D34" s="9">
        <v>625</v>
      </c>
      <c r="E34" s="41">
        <v>97.76</v>
      </c>
      <c r="F34" s="11">
        <v>42</v>
      </c>
      <c r="G34" s="10">
        <v>63</v>
      </c>
      <c r="H34" s="10">
        <f t="shared" si="0"/>
        <v>64</v>
      </c>
      <c r="I34" s="10">
        <f t="shared" si="1"/>
        <v>33.76</v>
      </c>
      <c r="J34" s="10">
        <f t="shared" si="2"/>
        <v>97.759999999999991</v>
      </c>
      <c r="K34" s="10">
        <f t="shared" si="3"/>
        <v>0</v>
      </c>
      <c r="L34" s="12"/>
      <c r="M34" s="13">
        <f t="shared" si="4"/>
        <v>64.385999999999996</v>
      </c>
      <c r="N34" s="31">
        <f t="shared" si="5"/>
        <v>64.260000000000005</v>
      </c>
    </row>
    <row r="35" spans="2:14" ht="38.1" customHeight="1" x14ac:dyDescent="0.25">
      <c r="B35" s="32">
        <v>32</v>
      </c>
      <c r="C35" s="19" t="s">
        <v>27</v>
      </c>
      <c r="D35" s="15">
        <v>1000</v>
      </c>
      <c r="E35" s="41">
        <v>406.32</v>
      </c>
      <c r="F35" s="17">
        <v>20</v>
      </c>
      <c r="G35" s="16">
        <v>265</v>
      </c>
      <c r="H35" s="16">
        <f t="shared" si="0"/>
        <v>266</v>
      </c>
      <c r="I35" s="16">
        <f t="shared" si="1"/>
        <v>140.315</v>
      </c>
      <c r="J35" s="16">
        <f t="shared" si="2"/>
        <v>406.315</v>
      </c>
      <c r="K35" s="16">
        <f t="shared" si="3"/>
        <v>4.9999999999954525E-3</v>
      </c>
      <c r="L35" s="12"/>
      <c r="M35" s="13">
        <f t="shared" si="4"/>
        <v>270.83</v>
      </c>
      <c r="N35" s="31">
        <f t="shared" si="5"/>
        <v>270.3</v>
      </c>
    </row>
    <row r="36" spans="2:14" ht="38.1" customHeight="1" x14ac:dyDescent="0.25">
      <c r="B36" s="30">
        <v>33</v>
      </c>
      <c r="C36" s="18" t="s">
        <v>28</v>
      </c>
      <c r="D36" s="9">
        <v>1000</v>
      </c>
      <c r="E36" s="41">
        <v>397.15</v>
      </c>
      <c r="F36" s="17">
        <v>20</v>
      </c>
      <c r="G36" s="10">
        <v>259</v>
      </c>
      <c r="H36" s="10">
        <f t="shared" si="0"/>
        <v>260</v>
      </c>
      <c r="I36" s="10">
        <f t="shared" si="1"/>
        <v>137.15</v>
      </c>
      <c r="J36" s="10">
        <f t="shared" si="2"/>
        <v>397.15</v>
      </c>
      <c r="K36" s="10">
        <f t="shared" si="3"/>
        <v>0</v>
      </c>
      <c r="L36" s="12"/>
      <c r="M36" s="13">
        <f t="shared" si="4"/>
        <v>264.69799999999998</v>
      </c>
      <c r="N36" s="31">
        <f t="shared" si="5"/>
        <v>264.18</v>
      </c>
    </row>
    <row r="37" spans="2:14" ht="38.1" customHeight="1" x14ac:dyDescent="0.25">
      <c r="B37" s="32">
        <v>34</v>
      </c>
      <c r="C37" s="19" t="s">
        <v>29</v>
      </c>
      <c r="D37" s="15">
        <v>1000</v>
      </c>
      <c r="E37" s="41">
        <v>398.68</v>
      </c>
      <c r="F37" s="17">
        <v>20</v>
      </c>
      <c r="G37" s="16">
        <v>260</v>
      </c>
      <c r="H37" s="16">
        <f t="shared" si="0"/>
        <v>261</v>
      </c>
      <c r="I37" s="16">
        <f t="shared" si="1"/>
        <v>137.67749999999998</v>
      </c>
      <c r="J37" s="16">
        <f t="shared" si="2"/>
        <v>398.67750000000001</v>
      </c>
      <c r="K37" s="16">
        <f t="shared" si="3"/>
        <v>2.4999999999977263E-3</v>
      </c>
      <c r="L37" s="12"/>
      <c r="M37" s="13">
        <f t="shared" si="4"/>
        <v>265.72000000000003</v>
      </c>
      <c r="N37" s="31">
        <f t="shared" si="5"/>
        <v>265.2</v>
      </c>
    </row>
    <row r="38" spans="2:14" ht="38.1" customHeight="1" x14ac:dyDescent="0.25">
      <c r="B38" s="30">
        <v>35</v>
      </c>
      <c r="C38" s="18" t="s">
        <v>30</v>
      </c>
      <c r="D38" s="9">
        <v>1000</v>
      </c>
      <c r="E38" s="41">
        <v>296.33999999999997</v>
      </c>
      <c r="F38" s="17">
        <v>20</v>
      </c>
      <c r="G38" s="10">
        <v>193</v>
      </c>
      <c r="H38" s="10">
        <f t="shared" si="0"/>
        <v>194</v>
      </c>
      <c r="I38" s="10">
        <f t="shared" si="1"/>
        <v>102.33499999999999</v>
      </c>
      <c r="J38" s="10">
        <f t="shared" si="2"/>
        <v>296.33499999999998</v>
      </c>
      <c r="K38" s="10">
        <f t="shared" si="3"/>
        <v>4.9999999999954525E-3</v>
      </c>
      <c r="L38" s="12"/>
      <c r="M38" s="13">
        <f t="shared" si="4"/>
        <v>197.24600000000001</v>
      </c>
      <c r="N38" s="31">
        <f t="shared" si="5"/>
        <v>196.86</v>
      </c>
    </row>
    <row r="39" spans="2:14" ht="38.1" customHeight="1" x14ac:dyDescent="0.25">
      <c r="B39" s="32">
        <v>36</v>
      </c>
      <c r="C39" s="19" t="s">
        <v>31</v>
      </c>
      <c r="D39" s="15">
        <v>1000</v>
      </c>
      <c r="E39" s="41">
        <v>333</v>
      </c>
      <c r="F39" s="17">
        <v>20</v>
      </c>
      <c r="G39" s="16">
        <v>217</v>
      </c>
      <c r="H39" s="16">
        <f t="shared" si="0"/>
        <v>218</v>
      </c>
      <c r="I39" s="16">
        <f t="shared" si="1"/>
        <v>114.99499999999999</v>
      </c>
      <c r="J39" s="16">
        <f t="shared" si="2"/>
        <v>332.995</v>
      </c>
      <c r="K39" s="16">
        <f t="shared" si="3"/>
        <v>4.9999999999954525E-3</v>
      </c>
      <c r="L39" s="12"/>
      <c r="M39" s="13">
        <f t="shared" si="4"/>
        <v>221.774</v>
      </c>
      <c r="N39" s="31">
        <f t="shared" si="5"/>
        <v>221.34</v>
      </c>
    </row>
    <row r="40" spans="2:14" ht="38.1" customHeight="1" x14ac:dyDescent="0.25">
      <c r="B40" s="30">
        <v>37</v>
      </c>
      <c r="C40" s="18" t="s">
        <v>32</v>
      </c>
      <c r="D40" s="9">
        <v>1000</v>
      </c>
      <c r="E40" s="41">
        <v>291.75</v>
      </c>
      <c r="F40" s="17">
        <v>20</v>
      </c>
      <c r="G40" s="10">
        <v>190</v>
      </c>
      <c r="H40" s="10">
        <f t="shared" si="0"/>
        <v>191</v>
      </c>
      <c r="I40" s="10">
        <f t="shared" si="1"/>
        <v>100.7525</v>
      </c>
      <c r="J40" s="10">
        <f t="shared" si="2"/>
        <v>291.7525</v>
      </c>
      <c r="K40" s="10">
        <f t="shared" si="3"/>
        <v>-2.4999999999977263E-3</v>
      </c>
      <c r="L40" s="12"/>
      <c r="M40" s="13">
        <f t="shared" si="4"/>
        <v>194.18</v>
      </c>
      <c r="N40" s="31">
        <f t="shared" si="5"/>
        <v>193.8</v>
      </c>
    </row>
    <row r="41" spans="2:14" ht="38.1" customHeight="1" x14ac:dyDescent="0.25">
      <c r="B41" s="32">
        <v>38</v>
      </c>
      <c r="C41" s="19" t="s">
        <v>33</v>
      </c>
      <c r="D41" s="15">
        <v>1000</v>
      </c>
      <c r="E41" s="41">
        <v>291.75</v>
      </c>
      <c r="F41" s="17">
        <v>20</v>
      </c>
      <c r="G41" s="16">
        <v>190</v>
      </c>
      <c r="H41" s="16">
        <f t="shared" si="0"/>
        <v>191</v>
      </c>
      <c r="I41" s="16">
        <f t="shared" si="1"/>
        <v>100.7525</v>
      </c>
      <c r="J41" s="16">
        <f t="shared" si="2"/>
        <v>291.7525</v>
      </c>
      <c r="K41" s="16">
        <f t="shared" si="3"/>
        <v>-2.4999999999977263E-3</v>
      </c>
      <c r="L41" s="12"/>
      <c r="M41" s="13">
        <f t="shared" si="4"/>
        <v>194.18</v>
      </c>
      <c r="N41" s="31">
        <f t="shared" si="5"/>
        <v>193.8</v>
      </c>
    </row>
    <row r="42" spans="2:14" ht="38.1" customHeight="1" x14ac:dyDescent="0.25">
      <c r="B42" s="30">
        <v>39</v>
      </c>
      <c r="C42" s="18" t="s">
        <v>34</v>
      </c>
      <c r="D42" s="9">
        <v>1000</v>
      </c>
      <c r="E42" s="41">
        <v>326.89</v>
      </c>
      <c r="F42" s="17">
        <v>20</v>
      </c>
      <c r="G42" s="10">
        <v>213</v>
      </c>
      <c r="H42" s="10">
        <f t="shared" si="0"/>
        <v>214</v>
      </c>
      <c r="I42" s="10">
        <f t="shared" si="1"/>
        <v>112.88499999999999</v>
      </c>
      <c r="J42" s="10">
        <f t="shared" si="2"/>
        <v>326.88499999999999</v>
      </c>
      <c r="K42" s="10">
        <f t="shared" si="3"/>
        <v>4.9999999999954525E-3</v>
      </c>
      <c r="L42" s="12"/>
      <c r="M42" s="13">
        <f t="shared" si="4"/>
        <v>217.68600000000001</v>
      </c>
      <c r="N42" s="31">
        <f t="shared" si="5"/>
        <v>217.26</v>
      </c>
    </row>
    <row r="43" spans="2:14" ht="38.1" customHeight="1" x14ac:dyDescent="0.25">
      <c r="B43" s="32">
        <v>40</v>
      </c>
      <c r="C43" s="19" t="s">
        <v>35</v>
      </c>
      <c r="D43" s="15">
        <v>1000</v>
      </c>
      <c r="E43" s="41">
        <v>310.08</v>
      </c>
      <c r="F43" s="17">
        <v>20</v>
      </c>
      <c r="G43" s="16">
        <v>202</v>
      </c>
      <c r="H43" s="16">
        <f t="shared" si="0"/>
        <v>203</v>
      </c>
      <c r="I43" s="16">
        <f t="shared" si="1"/>
        <v>107.0825</v>
      </c>
      <c r="J43" s="16">
        <f t="shared" si="2"/>
        <v>310.08249999999998</v>
      </c>
      <c r="K43" s="16">
        <f t="shared" si="3"/>
        <v>-2.4999999999977263E-3</v>
      </c>
      <c r="L43" s="12"/>
      <c r="M43" s="13">
        <f t="shared" si="4"/>
        <v>206.44399999999999</v>
      </c>
      <c r="N43" s="31">
        <f t="shared" si="5"/>
        <v>206.04</v>
      </c>
    </row>
    <row r="44" spans="2:14" ht="38.1" customHeight="1" x14ac:dyDescent="0.25">
      <c r="B44" s="30">
        <v>41</v>
      </c>
      <c r="C44" s="18" t="s">
        <v>36</v>
      </c>
      <c r="D44" s="9">
        <v>1000</v>
      </c>
      <c r="E44" s="41">
        <v>436.87</v>
      </c>
      <c r="F44" s="17">
        <v>20</v>
      </c>
      <c r="G44" s="10">
        <v>285</v>
      </c>
      <c r="H44" s="10">
        <f t="shared" si="0"/>
        <v>286</v>
      </c>
      <c r="I44" s="10">
        <f t="shared" si="1"/>
        <v>150.86499999999998</v>
      </c>
      <c r="J44" s="10">
        <f t="shared" si="2"/>
        <v>436.86500000000001</v>
      </c>
      <c r="K44" s="10">
        <f t="shared" si="3"/>
        <v>4.9999999999954525E-3</v>
      </c>
      <c r="L44" s="12"/>
      <c r="M44" s="13">
        <f t="shared" si="4"/>
        <v>291.27</v>
      </c>
      <c r="N44" s="31">
        <f t="shared" si="5"/>
        <v>290.7</v>
      </c>
    </row>
    <row r="45" spans="2:14" ht="38.1" customHeight="1" x14ac:dyDescent="0.25">
      <c r="B45" s="32">
        <v>42</v>
      </c>
      <c r="C45" s="19" t="s">
        <v>37</v>
      </c>
      <c r="D45" s="15">
        <v>1000</v>
      </c>
      <c r="E45" s="41">
        <v>322.3</v>
      </c>
      <c r="F45" s="17">
        <v>20</v>
      </c>
      <c r="G45" s="16">
        <v>210</v>
      </c>
      <c r="H45" s="16">
        <f t="shared" si="0"/>
        <v>211</v>
      </c>
      <c r="I45" s="16">
        <f t="shared" si="1"/>
        <v>111.30249999999999</v>
      </c>
      <c r="J45" s="16">
        <f t="shared" si="2"/>
        <v>322.30250000000001</v>
      </c>
      <c r="K45" s="16">
        <f t="shared" si="3"/>
        <v>-2.4999999999977263E-3</v>
      </c>
      <c r="L45" s="12"/>
      <c r="M45" s="13">
        <f t="shared" si="4"/>
        <v>214.62</v>
      </c>
      <c r="N45" s="31">
        <f t="shared" si="5"/>
        <v>214.2</v>
      </c>
    </row>
    <row r="46" spans="2:14" ht="38.1" customHeight="1" x14ac:dyDescent="0.25">
      <c r="B46" s="30">
        <v>43</v>
      </c>
      <c r="C46" s="18" t="s">
        <v>38</v>
      </c>
      <c r="D46" s="9">
        <v>1000</v>
      </c>
      <c r="E46" s="41">
        <v>357.44</v>
      </c>
      <c r="F46" s="17">
        <v>20</v>
      </c>
      <c r="G46" s="10">
        <v>233</v>
      </c>
      <c r="H46" s="10">
        <f t="shared" si="0"/>
        <v>234</v>
      </c>
      <c r="I46" s="10">
        <f t="shared" si="1"/>
        <v>123.43499999999999</v>
      </c>
      <c r="J46" s="10">
        <f t="shared" si="2"/>
        <v>357.435</v>
      </c>
      <c r="K46" s="10">
        <f t="shared" si="3"/>
        <v>4.9999999999954525E-3</v>
      </c>
      <c r="L46" s="12"/>
      <c r="M46" s="13">
        <f t="shared" si="4"/>
        <v>238.126</v>
      </c>
      <c r="N46" s="31">
        <f t="shared" si="5"/>
        <v>237.66</v>
      </c>
    </row>
    <row r="47" spans="2:14" ht="38.1" customHeight="1" x14ac:dyDescent="0.25">
      <c r="B47" s="32">
        <v>44</v>
      </c>
      <c r="C47" s="19" t="s">
        <v>39</v>
      </c>
      <c r="D47" s="15">
        <v>1000</v>
      </c>
      <c r="E47" s="41">
        <v>340.63</v>
      </c>
      <c r="F47" s="17">
        <v>20</v>
      </c>
      <c r="G47" s="16">
        <v>222</v>
      </c>
      <c r="H47" s="16">
        <f t="shared" si="0"/>
        <v>223</v>
      </c>
      <c r="I47" s="16">
        <f t="shared" si="1"/>
        <v>117.63249999999999</v>
      </c>
      <c r="J47" s="16">
        <f t="shared" si="2"/>
        <v>340.63249999999999</v>
      </c>
      <c r="K47" s="16">
        <f t="shared" si="3"/>
        <v>-2.4999999999977263E-3</v>
      </c>
      <c r="L47" s="12"/>
      <c r="M47" s="13">
        <f t="shared" si="4"/>
        <v>226.88399999999999</v>
      </c>
      <c r="N47" s="31">
        <f t="shared" si="5"/>
        <v>226.44</v>
      </c>
    </row>
    <row r="48" spans="2:14" ht="38.1" customHeight="1" x14ac:dyDescent="0.25">
      <c r="B48" s="30">
        <v>45</v>
      </c>
      <c r="C48" s="18" t="s">
        <v>40</v>
      </c>
      <c r="D48" s="9">
        <v>6000</v>
      </c>
      <c r="E48" s="41">
        <v>200.1</v>
      </c>
      <c r="F48" s="11">
        <v>42</v>
      </c>
      <c r="G48" s="10">
        <v>130</v>
      </c>
      <c r="H48" s="10">
        <f t="shared" si="0"/>
        <v>131</v>
      </c>
      <c r="I48" s="10">
        <f t="shared" si="1"/>
        <v>69.102499999999992</v>
      </c>
      <c r="J48" s="10">
        <f t="shared" si="2"/>
        <v>200.10249999999999</v>
      </c>
      <c r="K48" s="10">
        <f t="shared" si="3"/>
        <v>-2.4999999999977263E-3</v>
      </c>
      <c r="L48" s="12"/>
      <c r="M48" s="13">
        <f t="shared" si="4"/>
        <v>132.86000000000001</v>
      </c>
      <c r="N48" s="31">
        <f t="shared" si="5"/>
        <v>132.6</v>
      </c>
    </row>
    <row r="49" spans="2:14" ht="38.1" customHeight="1" x14ac:dyDescent="0.25">
      <c r="B49" s="32">
        <v>46</v>
      </c>
      <c r="C49" s="19" t="s">
        <v>41</v>
      </c>
      <c r="D49" s="15">
        <v>720</v>
      </c>
      <c r="E49" s="41">
        <v>273.42</v>
      </c>
      <c r="F49" s="17">
        <v>44</v>
      </c>
      <c r="G49" s="16">
        <v>178</v>
      </c>
      <c r="H49" s="16">
        <f t="shared" si="0"/>
        <v>179</v>
      </c>
      <c r="I49" s="16">
        <f t="shared" si="1"/>
        <v>94.422499999999999</v>
      </c>
      <c r="J49" s="16">
        <f t="shared" si="2"/>
        <v>273.42250000000001</v>
      </c>
      <c r="K49" s="16">
        <f t="shared" si="3"/>
        <v>-2.4999999999977263E-3</v>
      </c>
      <c r="L49" s="12"/>
      <c r="M49" s="13">
        <f t="shared" si="4"/>
        <v>181.916</v>
      </c>
      <c r="N49" s="31">
        <f t="shared" si="5"/>
        <v>181.56</v>
      </c>
    </row>
    <row r="50" spans="2:14" ht="165" x14ac:dyDescent="0.25">
      <c r="B50" s="30">
        <v>47</v>
      </c>
      <c r="C50" s="8" t="s">
        <v>91</v>
      </c>
      <c r="D50" s="9">
        <v>720</v>
      </c>
      <c r="E50" s="41">
        <v>187.88</v>
      </c>
      <c r="F50" s="11">
        <v>54</v>
      </c>
      <c r="G50" s="10">
        <v>122</v>
      </c>
      <c r="H50" s="10">
        <f t="shared" si="0"/>
        <v>123</v>
      </c>
      <c r="I50" s="10">
        <f t="shared" si="1"/>
        <v>64.882499999999993</v>
      </c>
      <c r="J50" s="10">
        <f t="shared" si="2"/>
        <v>187.88249999999999</v>
      </c>
      <c r="K50" s="10">
        <f t="shared" si="3"/>
        <v>-2.4999999999977263E-3</v>
      </c>
      <c r="L50" s="12"/>
      <c r="M50" s="13">
        <f t="shared" si="4"/>
        <v>124.684</v>
      </c>
      <c r="N50" s="31">
        <f t="shared" si="5"/>
        <v>124.44</v>
      </c>
    </row>
    <row r="51" spans="2:14" ht="45" x14ac:dyDescent="0.25">
      <c r="B51" s="32">
        <v>48</v>
      </c>
      <c r="C51" s="43" t="s">
        <v>86</v>
      </c>
      <c r="D51" s="15">
        <v>720</v>
      </c>
      <c r="E51" s="41">
        <v>200.1</v>
      </c>
      <c r="F51" s="17">
        <v>44</v>
      </c>
      <c r="G51" s="16">
        <v>130</v>
      </c>
      <c r="H51" s="16">
        <f t="shared" si="0"/>
        <v>131</v>
      </c>
      <c r="I51" s="16">
        <f t="shared" si="1"/>
        <v>69.102499999999992</v>
      </c>
      <c r="J51" s="16">
        <f t="shared" si="2"/>
        <v>200.10249999999999</v>
      </c>
      <c r="K51" s="16">
        <f t="shared" si="3"/>
        <v>-2.4999999999977263E-3</v>
      </c>
      <c r="L51" s="12"/>
      <c r="M51" s="13">
        <f t="shared" si="4"/>
        <v>132.86000000000001</v>
      </c>
      <c r="N51" s="31">
        <f t="shared" si="5"/>
        <v>132.6</v>
      </c>
    </row>
    <row r="52" spans="2:14" ht="38.1" customHeight="1" x14ac:dyDescent="0.25">
      <c r="B52" s="51" t="s">
        <v>81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</row>
    <row r="53" spans="2:14" ht="120" x14ac:dyDescent="0.25">
      <c r="B53" s="30">
        <v>49</v>
      </c>
      <c r="C53" s="8" t="s">
        <v>89</v>
      </c>
      <c r="D53" s="9">
        <v>1440</v>
      </c>
      <c r="E53" s="41">
        <v>114.56</v>
      </c>
      <c r="F53" s="20">
        <v>42</v>
      </c>
      <c r="G53" s="10">
        <v>74</v>
      </c>
      <c r="H53" s="10">
        <f t="shared" ref="H53:H62" si="6">G53+1</f>
        <v>75</v>
      </c>
      <c r="I53" s="10">
        <f t="shared" ref="I53:I62" si="7">H53*52.75%</f>
        <v>39.5625</v>
      </c>
      <c r="J53" s="10">
        <f t="shared" ref="J53:J62" si="8">H53+I53</f>
        <v>114.5625</v>
      </c>
      <c r="K53" s="10">
        <f t="shared" ref="K53:K62" si="9">E53-J53</f>
        <v>-2.4999999999977263E-3</v>
      </c>
      <c r="L53" s="12"/>
      <c r="M53" s="13">
        <f t="shared" ref="M53:M62" si="10">(G53*$M$1)+G53</f>
        <v>75.628</v>
      </c>
      <c r="N53" s="31">
        <f t="shared" ref="N53:N62" si="11">(G53*$N$1)+G53</f>
        <v>75.48</v>
      </c>
    </row>
    <row r="54" spans="2:14" ht="105" x14ac:dyDescent="0.25">
      <c r="B54" s="32">
        <v>50</v>
      </c>
      <c r="C54" s="14" t="s">
        <v>88</v>
      </c>
      <c r="D54" s="15">
        <v>1800</v>
      </c>
      <c r="E54" s="41">
        <v>131.37</v>
      </c>
      <c r="F54" s="21">
        <v>42</v>
      </c>
      <c r="G54" s="16">
        <v>85</v>
      </c>
      <c r="H54" s="16">
        <f t="shared" si="6"/>
        <v>86</v>
      </c>
      <c r="I54" s="16">
        <f t="shared" si="7"/>
        <v>45.364999999999995</v>
      </c>
      <c r="J54" s="16">
        <f t="shared" si="8"/>
        <v>131.36500000000001</v>
      </c>
      <c r="K54" s="16">
        <f t="shared" si="9"/>
        <v>4.9999999999954525E-3</v>
      </c>
      <c r="L54" s="12"/>
      <c r="M54" s="13">
        <f t="shared" si="10"/>
        <v>86.87</v>
      </c>
      <c r="N54" s="31">
        <f t="shared" si="11"/>
        <v>86.7</v>
      </c>
    </row>
    <row r="55" spans="2:14" ht="45" x14ac:dyDescent="0.25">
      <c r="B55" s="30">
        <v>51</v>
      </c>
      <c r="C55" s="8" t="s">
        <v>68</v>
      </c>
      <c r="D55" s="9">
        <v>1200</v>
      </c>
      <c r="E55" s="41">
        <v>108.45</v>
      </c>
      <c r="F55" s="20">
        <v>48</v>
      </c>
      <c r="G55" s="10">
        <v>70</v>
      </c>
      <c r="H55" s="10">
        <f t="shared" si="6"/>
        <v>71</v>
      </c>
      <c r="I55" s="10">
        <f t="shared" si="7"/>
        <v>37.452500000000001</v>
      </c>
      <c r="J55" s="10">
        <f t="shared" si="8"/>
        <v>108.4525</v>
      </c>
      <c r="K55" s="10">
        <f t="shared" si="9"/>
        <v>-2.4999999999977263E-3</v>
      </c>
      <c r="L55" s="12"/>
      <c r="M55" s="13">
        <f t="shared" si="10"/>
        <v>71.540000000000006</v>
      </c>
      <c r="N55" s="31">
        <f t="shared" si="11"/>
        <v>71.400000000000006</v>
      </c>
    </row>
    <row r="56" spans="2:14" ht="38.1" customHeight="1" x14ac:dyDescent="0.25">
      <c r="B56" s="32">
        <v>52</v>
      </c>
      <c r="C56" s="19" t="s">
        <v>42</v>
      </c>
      <c r="D56" s="15">
        <v>1800</v>
      </c>
      <c r="E56" s="41">
        <v>145.11000000000001</v>
      </c>
      <c r="F56" s="21">
        <v>48</v>
      </c>
      <c r="G56" s="16">
        <v>94</v>
      </c>
      <c r="H56" s="16">
        <f t="shared" si="6"/>
        <v>95</v>
      </c>
      <c r="I56" s="16">
        <f t="shared" si="7"/>
        <v>50.112499999999997</v>
      </c>
      <c r="J56" s="16">
        <f t="shared" si="8"/>
        <v>145.11250000000001</v>
      </c>
      <c r="K56" s="16">
        <f t="shared" si="9"/>
        <v>-2.4999999999977263E-3</v>
      </c>
      <c r="L56" s="12"/>
      <c r="M56" s="13">
        <f t="shared" si="10"/>
        <v>96.067999999999998</v>
      </c>
      <c r="N56" s="31">
        <f t="shared" si="11"/>
        <v>95.88</v>
      </c>
    </row>
    <row r="57" spans="2:14" ht="38.1" customHeight="1" x14ac:dyDescent="0.25">
      <c r="B57" s="30">
        <v>53</v>
      </c>
      <c r="C57" s="18" t="s">
        <v>43</v>
      </c>
      <c r="D57" s="9">
        <v>720</v>
      </c>
      <c r="E57" s="41">
        <v>73.319999999999993</v>
      </c>
      <c r="F57" s="20">
        <v>44</v>
      </c>
      <c r="G57" s="10">
        <v>47</v>
      </c>
      <c r="H57" s="10">
        <f t="shared" si="6"/>
        <v>48</v>
      </c>
      <c r="I57" s="10">
        <f t="shared" si="7"/>
        <v>25.32</v>
      </c>
      <c r="J57" s="10">
        <f t="shared" si="8"/>
        <v>73.319999999999993</v>
      </c>
      <c r="K57" s="10">
        <f t="shared" si="9"/>
        <v>0</v>
      </c>
      <c r="L57" s="12"/>
      <c r="M57" s="13">
        <f t="shared" si="10"/>
        <v>48.033999999999999</v>
      </c>
      <c r="N57" s="31">
        <f t="shared" si="11"/>
        <v>47.94</v>
      </c>
    </row>
    <row r="58" spans="2:14" ht="90" x14ac:dyDescent="0.25">
      <c r="B58" s="32">
        <v>54</v>
      </c>
      <c r="C58" s="14" t="s">
        <v>103</v>
      </c>
      <c r="D58" s="15">
        <v>1080</v>
      </c>
      <c r="E58" s="41">
        <v>93.18</v>
      </c>
      <c r="F58" s="21">
        <v>48</v>
      </c>
      <c r="G58" s="16">
        <v>60</v>
      </c>
      <c r="H58" s="16">
        <f t="shared" si="6"/>
        <v>61</v>
      </c>
      <c r="I58" s="16">
        <f t="shared" si="7"/>
        <v>32.177499999999995</v>
      </c>
      <c r="J58" s="16">
        <f t="shared" si="8"/>
        <v>93.177499999999995</v>
      </c>
      <c r="K58" s="16">
        <f t="shared" si="9"/>
        <v>2.5000000000119371E-3</v>
      </c>
      <c r="L58" s="12"/>
      <c r="M58" s="13">
        <f t="shared" si="10"/>
        <v>61.32</v>
      </c>
      <c r="N58" s="31">
        <f t="shared" si="11"/>
        <v>61.2</v>
      </c>
    </row>
    <row r="59" spans="2:14" ht="75" x14ac:dyDescent="0.25">
      <c r="B59" s="30">
        <v>55</v>
      </c>
      <c r="C59" s="8" t="s">
        <v>90</v>
      </c>
      <c r="D59" s="9">
        <v>1080</v>
      </c>
      <c r="E59" s="41">
        <v>129.07</v>
      </c>
      <c r="F59" s="20">
        <v>48</v>
      </c>
      <c r="G59" s="10">
        <v>83.5</v>
      </c>
      <c r="H59" s="10">
        <f t="shared" si="6"/>
        <v>84.5</v>
      </c>
      <c r="I59" s="10">
        <f t="shared" si="7"/>
        <v>44.573749999999997</v>
      </c>
      <c r="J59" s="10">
        <f t="shared" si="8"/>
        <v>129.07374999999999</v>
      </c>
      <c r="K59" s="10">
        <f t="shared" si="9"/>
        <v>-3.7499999999965894E-3</v>
      </c>
      <c r="L59" s="12"/>
      <c r="M59" s="13">
        <f t="shared" si="10"/>
        <v>85.337000000000003</v>
      </c>
      <c r="N59" s="31">
        <f t="shared" si="11"/>
        <v>85.17</v>
      </c>
    </row>
    <row r="60" spans="2:14" ht="38.1" customHeight="1" x14ac:dyDescent="0.25">
      <c r="B60" s="32">
        <v>56</v>
      </c>
      <c r="C60" s="19" t="s">
        <v>44</v>
      </c>
      <c r="D60" s="15">
        <v>1080</v>
      </c>
      <c r="E60" s="41">
        <v>143.59</v>
      </c>
      <c r="F60" s="21">
        <v>48</v>
      </c>
      <c r="G60" s="16">
        <v>93</v>
      </c>
      <c r="H60" s="16">
        <f t="shared" si="6"/>
        <v>94</v>
      </c>
      <c r="I60" s="16">
        <f t="shared" si="7"/>
        <v>49.584999999999994</v>
      </c>
      <c r="J60" s="16">
        <f t="shared" si="8"/>
        <v>143.58499999999998</v>
      </c>
      <c r="K60" s="16">
        <f t="shared" si="9"/>
        <v>5.0000000000238742E-3</v>
      </c>
      <c r="L60" s="12"/>
      <c r="M60" s="13">
        <f t="shared" si="10"/>
        <v>95.046000000000006</v>
      </c>
      <c r="N60" s="31">
        <f t="shared" si="11"/>
        <v>94.86</v>
      </c>
    </row>
    <row r="61" spans="2:14" ht="75" x14ac:dyDescent="0.25">
      <c r="B61" s="30">
        <v>57</v>
      </c>
      <c r="C61" s="8" t="s">
        <v>65</v>
      </c>
      <c r="D61" s="9">
        <v>480</v>
      </c>
      <c r="E61" s="41">
        <v>103.41</v>
      </c>
      <c r="F61" s="20">
        <v>35</v>
      </c>
      <c r="G61" s="10">
        <v>66.7</v>
      </c>
      <c r="H61" s="10">
        <f t="shared" si="6"/>
        <v>67.7</v>
      </c>
      <c r="I61" s="10">
        <f t="shared" si="7"/>
        <v>35.711750000000002</v>
      </c>
      <c r="J61" s="10">
        <f t="shared" si="8"/>
        <v>103.41175000000001</v>
      </c>
      <c r="K61" s="10">
        <f t="shared" si="9"/>
        <v>-1.7500000000154614E-3</v>
      </c>
      <c r="L61" s="12"/>
      <c r="M61" s="13">
        <f t="shared" si="10"/>
        <v>68.167400000000001</v>
      </c>
      <c r="N61" s="31">
        <f t="shared" si="11"/>
        <v>68.034000000000006</v>
      </c>
    </row>
    <row r="62" spans="2:14" ht="38.1" customHeight="1" x14ac:dyDescent="0.25">
      <c r="B62" s="32">
        <v>58</v>
      </c>
      <c r="C62" s="19" t="s">
        <v>45</v>
      </c>
      <c r="D62" s="15">
        <v>1440</v>
      </c>
      <c r="E62" s="41">
        <v>132.88999999999999</v>
      </c>
      <c r="F62" s="21"/>
      <c r="G62" s="16">
        <v>86</v>
      </c>
      <c r="H62" s="16">
        <f t="shared" si="6"/>
        <v>87</v>
      </c>
      <c r="I62" s="16">
        <f t="shared" si="7"/>
        <v>45.892499999999998</v>
      </c>
      <c r="J62" s="16">
        <f t="shared" si="8"/>
        <v>132.89249999999998</v>
      </c>
      <c r="K62" s="16">
        <f t="shared" si="9"/>
        <v>-2.4999999999977263E-3</v>
      </c>
      <c r="L62" s="12"/>
      <c r="M62" s="13">
        <f t="shared" si="10"/>
        <v>87.891999999999996</v>
      </c>
      <c r="N62" s="31">
        <f t="shared" si="11"/>
        <v>87.72</v>
      </c>
    </row>
    <row r="63" spans="2:14" ht="38.1" customHeight="1" x14ac:dyDescent="0.25">
      <c r="B63" s="45" t="s">
        <v>82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</row>
    <row r="64" spans="2:14" ht="38.1" customHeight="1" x14ac:dyDescent="0.25">
      <c r="B64" s="30">
        <v>59</v>
      </c>
      <c r="C64" s="18" t="s">
        <v>71</v>
      </c>
      <c r="D64" s="9">
        <v>1250</v>
      </c>
      <c r="E64" s="41">
        <v>122.66</v>
      </c>
      <c r="F64" s="20">
        <v>120</v>
      </c>
      <c r="G64" s="10">
        <v>83</v>
      </c>
      <c r="H64" s="10">
        <f t="shared" ref="H64:H94" si="12">G64+1</f>
        <v>84</v>
      </c>
      <c r="I64" s="10">
        <f>1.56*24.78</f>
        <v>38.656800000000004</v>
      </c>
      <c r="J64" s="10">
        <f t="shared" ref="J64:J94" si="13">H64+I64</f>
        <v>122.6568</v>
      </c>
      <c r="K64" s="10">
        <f t="shared" ref="K64:K94" si="14">E64-J64</f>
        <v>3.1999999999925421E-3</v>
      </c>
      <c r="L64" s="12"/>
      <c r="M64" s="13">
        <f t="shared" ref="M64:M94" si="15">(G64*$M$1)+G64</f>
        <v>84.825999999999993</v>
      </c>
      <c r="N64" s="31">
        <f t="shared" ref="N64:N87" si="16">(G64*$N$1)+G64</f>
        <v>84.66</v>
      </c>
    </row>
    <row r="65" spans="2:14" ht="105" x14ac:dyDescent="0.25">
      <c r="B65" s="32">
        <v>60</v>
      </c>
      <c r="C65" s="43" t="s">
        <v>85</v>
      </c>
      <c r="D65" s="15">
        <v>3000</v>
      </c>
      <c r="E65" s="41">
        <v>254.54</v>
      </c>
      <c r="F65" s="21">
        <v>120</v>
      </c>
      <c r="G65" s="16">
        <v>173</v>
      </c>
      <c r="H65" s="16">
        <f t="shared" si="12"/>
        <v>174</v>
      </c>
      <c r="I65" s="16">
        <f>3.25*24.78</f>
        <v>80.534999999999997</v>
      </c>
      <c r="J65" s="16">
        <f t="shared" si="13"/>
        <v>254.535</v>
      </c>
      <c r="K65" s="16">
        <f t="shared" si="14"/>
        <v>4.9999999999954525E-3</v>
      </c>
      <c r="L65" s="12"/>
      <c r="M65" s="13">
        <f t="shared" si="15"/>
        <v>176.80600000000001</v>
      </c>
      <c r="N65" s="31">
        <f t="shared" si="16"/>
        <v>176.46</v>
      </c>
    </row>
    <row r="66" spans="2:14" ht="38.1" customHeight="1" x14ac:dyDescent="0.25">
      <c r="B66" s="30">
        <v>61</v>
      </c>
      <c r="C66" s="18" t="s">
        <v>72</v>
      </c>
      <c r="D66" s="9">
        <v>1250</v>
      </c>
      <c r="E66" s="41">
        <v>87.79</v>
      </c>
      <c r="F66" s="20">
        <v>120</v>
      </c>
      <c r="G66" s="10">
        <v>60.55</v>
      </c>
      <c r="H66" s="10">
        <f t="shared" si="12"/>
        <v>61.55</v>
      </c>
      <c r="I66" s="10">
        <f>1.059*24.78</f>
        <v>26.24202</v>
      </c>
      <c r="J66" s="10">
        <f t="shared" si="13"/>
        <v>87.792019999999994</v>
      </c>
      <c r="K66" s="10">
        <f t="shared" si="14"/>
        <v>-2.0199999999874763E-3</v>
      </c>
      <c r="L66" s="12"/>
      <c r="M66" s="13">
        <f t="shared" si="15"/>
        <v>61.882099999999994</v>
      </c>
      <c r="N66" s="31">
        <f t="shared" si="16"/>
        <v>61.760999999999996</v>
      </c>
    </row>
    <row r="67" spans="2:14" ht="45" x14ac:dyDescent="0.25">
      <c r="B67" s="32">
        <v>62</v>
      </c>
      <c r="C67" s="14" t="s">
        <v>73</v>
      </c>
      <c r="D67" s="15">
        <v>1250</v>
      </c>
      <c r="E67" s="41">
        <v>151.6</v>
      </c>
      <c r="F67" s="21">
        <v>120</v>
      </c>
      <c r="G67" s="16">
        <v>105</v>
      </c>
      <c r="H67" s="16">
        <f t="shared" si="12"/>
        <v>106</v>
      </c>
      <c r="I67" s="16">
        <f>1.84*24.78</f>
        <v>45.595200000000006</v>
      </c>
      <c r="J67" s="16">
        <f t="shared" si="13"/>
        <v>151.59520000000001</v>
      </c>
      <c r="K67" s="16">
        <f t="shared" si="14"/>
        <v>4.7999999999888132E-3</v>
      </c>
      <c r="L67" s="12"/>
      <c r="M67" s="13">
        <f t="shared" si="15"/>
        <v>107.31</v>
      </c>
      <c r="N67" s="31">
        <f t="shared" si="16"/>
        <v>107.1</v>
      </c>
    </row>
    <row r="68" spans="2:14" ht="38.1" customHeight="1" x14ac:dyDescent="0.25">
      <c r="B68" s="30">
        <v>63</v>
      </c>
      <c r="C68" s="18" t="s">
        <v>46</v>
      </c>
      <c r="D68" s="9">
        <v>500</v>
      </c>
      <c r="E68" s="41">
        <v>117.36</v>
      </c>
      <c r="F68" s="20">
        <v>120</v>
      </c>
      <c r="G68" s="10">
        <v>100</v>
      </c>
      <c r="H68" s="10">
        <f t="shared" si="12"/>
        <v>101</v>
      </c>
      <c r="I68" s="10">
        <f>0.66*24.78</f>
        <v>16.354800000000001</v>
      </c>
      <c r="J68" s="10">
        <f t="shared" si="13"/>
        <v>117.3548</v>
      </c>
      <c r="K68" s="10">
        <f t="shared" si="14"/>
        <v>5.2000000000020918E-3</v>
      </c>
      <c r="L68" s="12"/>
      <c r="M68" s="13">
        <f t="shared" si="15"/>
        <v>102.2</v>
      </c>
      <c r="N68" s="31">
        <f t="shared" si="16"/>
        <v>102</v>
      </c>
    </row>
    <row r="69" spans="2:14" ht="38.1" customHeight="1" x14ac:dyDescent="0.25">
      <c r="B69" s="32">
        <v>64</v>
      </c>
      <c r="C69" s="19" t="s">
        <v>47</v>
      </c>
      <c r="D69" s="15">
        <v>500</v>
      </c>
      <c r="E69" s="41">
        <v>327.54000000000002</v>
      </c>
      <c r="F69" s="21">
        <v>120</v>
      </c>
      <c r="G69" s="16">
        <v>246</v>
      </c>
      <c r="H69" s="16">
        <f t="shared" si="12"/>
        <v>247</v>
      </c>
      <c r="I69" s="16">
        <f>3.25*24.78</f>
        <v>80.534999999999997</v>
      </c>
      <c r="J69" s="16">
        <f t="shared" si="13"/>
        <v>327.53499999999997</v>
      </c>
      <c r="K69" s="16">
        <f t="shared" si="14"/>
        <v>5.0000000000522959E-3</v>
      </c>
      <c r="L69" s="12"/>
      <c r="M69" s="13">
        <f t="shared" si="15"/>
        <v>251.41200000000001</v>
      </c>
      <c r="N69" s="31">
        <f t="shared" si="16"/>
        <v>250.92</v>
      </c>
    </row>
    <row r="70" spans="2:14" ht="38.1" customHeight="1" x14ac:dyDescent="0.25">
      <c r="B70" s="30">
        <v>65</v>
      </c>
      <c r="C70" s="18" t="s">
        <v>74</v>
      </c>
      <c r="D70" s="9">
        <v>500</v>
      </c>
      <c r="E70" s="41">
        <v>287.17</v>
      </c>
      <c r="F70" s="20">
        <v>120</v>
      </c>
      <c r="G70" s="10">
        <v>249</v>
      </c>
      <c r="H70" s="10">
        <f t="shared" si="12"/>
        <v>250</v>
      </c>
      <c r="I70" s="10">
        <f>1.5*24.78</f>
        <v>37.17</v>
      </c>
      <c r="J70" s="10">
        <f t="shared" si="13"/>
        <v>287.17</v>
      </c>
      <c r="K70" s="10">
        <f t="shared" si="14"/>
        <v>0</v>
      </c>
      <c r="L70" s="12"/>
      <c r="M70" s="13">
        <f t="shared" si="15"/>
        <v>254.47800000000001</v>
      </c>
      <c r="N70" s="31">
        <f t="shared" si="16"/>
        <v>253.98</v>
      </c>
    </row>
    <row r="71" spans="2:14" ht="38.1" customHeight="1" x14ac:dyDescent="0.25">
      <c r="B71" s="32">
        <v>66</v>
      </c>
      <c r="C71" s="19" t="s">
        <v>75</v>
      </c>
      <c r="D71" s="15">
        <v>1500</v>
      </c>
      <c r="E71" s="41">
        <v>303.04000000000002</v>
      </c>
      <c r="F71" s="21"/>
      <c r="G71" s="16">
        <v>250</v>
      </c>
      <c r="H71" s="16">
        <f t="shared" si="12"/>
        <v>251</v>
      </c>
      <c r="I71" s="16">
        <f>2.1*24.78</f>
        <v>52.038000000000004</v>
      </c>
      <c r="J71" s="16">
        <f t="shared" si="13"/>
        <v>303.03800000000001</v>
      </c>
      <c r="K71" s="16">
        <f t="shared" si="14"/>
        <v>2.0000000000095497E-3</v>
      </c>
      <c r="L71" s="12"/>
      <c r="M71" s="13">
        <f t="shared" si="15"/>
        <v>255.5</v>
      </c>
      <c r="N71" s="31">
        <f t="shared" si="16"/>
        <v>255</v>
      </c>
    </row>
    <row r="72" spans="2:14" ht="38.1" customHeight="1" x14ac:dyDescent="0.25">
      <c r="B72" s="30">
        <v>67</v>
      </c>
      <c r="C72" s="18" t="s">
        <v>48</v>
      </c>
      <c r="D72" s="9">
        <v>1250</v>
      </c>
      <c r="E72" s="41">
        <v>240.65</v>
      </c>
      <c r="F72" s="20"/>
      <c r="G72" s="10">
        <v>200</v>
      </c>
      <c r="H72" s="10">
        <f t="shared" si="12"/>
        <v>201</v>
      </c>
      <c r="I72" s="10">
        <f>1.6*24.78</f>
        <v>39.648000000000003</v>
      </c>
      <c r="J72" s="10">
        <f t="shared" si="13"/>
        <v>240.648</v>
      </c>
      <c r="K72" s="10">
        <f t="shared" si="14"/>
        <v>2.0000000000095497E-3</v>
      </c>
      <c r="L72" s="12"/>
      <c r="M72" s="13">
        <f t="shared" si="15"/>
        <v>204.4</v>
      </c>
      <c r="N72" s="31">
        <f t="shared" si="16"/>
        <v>204</v>
      </c>
    </row>
    <row r="73" spans="2:14" ht="38.1" customHeight="1" x14ac:dyDescent="0.25">
      <c r="B73" s="32">
        <v>68</v>
      </c>
      <c r="C73" s="19" t="s">
        <v>48</v>
      </c>
      <c r="D73" s="15">
        <v>1250</v>
      </c>
      <c r="E73" s="41">
        <v>165.65</v>
      </c>
      <c r="F73" s="21"/>
      <c r="G73" s="16">
        <v>125</v>
      </c>
      <c r="H73" s="16">
        <f t="shared" si="12"/>
        <v>126</v>
      </c>
      <c r="I73" s="16">
        <f>1.6*24.78</f>
        <v>39.648000000000003</v>
      </c>
      <c r="J73" s="16">
        <f t="shared" si="13"/>
        <v>165.648</v>
      </c>
      <c r="K73" s="16">
        <f t="shared" si="14"/>
        <v>2.0000000000095497E-3</v>
      </c>
      <c r="L73" s="12"/>
      <c r="M73" s="13">
        <f t="shared" si="15"/>
        <v>127.75</v>
      </c>
      <c r="N73" s="31">
        <f t="shared" si="16"/>
        <v>127.5</v>
      </c>
    </row>
    <row r="74" spans="2:14" ht="38.1" customHeight="1" x14ac:dyDescent="0.25">
      <c r="B74" s="30">
        <v>69</v>
      </c>
      <c r="C74" s="18" t="s">
        <v>49</v>
      </c>
      <c r="D74" s="9">
        <v>1000</v>
      </c>
      <c r="E74" s="41">
        <v>133.21</v>
      </c>
      <c r="F74" s="20"/>
      <c r="G74" s="10">
        <v>99</v>
      </c>
      <c r="H74" s="10">
        <f t="shared" si="12"/>
        <v>100</v>
      </c>
      <c r="I74" s="10">
        <f>1.34*24.78</f>
        <v>33.205200000000005</v>
      </c>
      <c r="J74" s="10">
        <f t="shared" si="13"/>
        <v>133.20519999999999</v>
      </c>
      <c r="K74" s="10">
        <f t="shared" si="14"/>
        <v>4.8000000000172349E-3</v>
      </c>
      <c r="L74" s="12"/>
      <c r="M74" s="13">
        <f t="shared" si="15"/>
        <v>101.178</v>
      </c>
      <c r="N74" s="31">
        <f t="shared" si="16"/>
        <v>100.98</v>
      </c>
    </row>
    <row r="75" spans="2:14" ht="38.1" customHeight="1" x14ac:dyDescent="0.25">
      <c r="B75" s="32">
        <v>70</v>
      </c>
      <c r="C75" s="19" t="s">
        <v>76</v>
      </c>
      <c r="D75" s="15">
        <v>2500</v>
      </c>
      <c r="E75" s="41">
        <v>386.73</v>
      </c>
      <c r="F75" s="21">
        <v>72</v>
      </c>
      <c r="G75" s="16">
        <v>299</v>
      </c>
      <c r="H75" s="16">
        <f t="shared" si="12"/>
        <v>300</v>
      </c>
      <c r="I75" s="16">
        <f>3.5*24.78</f>
        <v>86.73</v>
      </c>
      <c r="J75" s="16">
        <f t="shared" si="13"/>
        <v>386.73</v>
      </c>
      <c r="K75" s="16">
        <f t="shared" si="14"/>
        <v>0</v>
      </c>
      <c r="L75" s="12"/>
      <c r="M75" s="13">
        <f t="shared" si="15"/>
        <v>305.57799999999997</v>
      </c>
      <c r="N75" s="31">
        <f t="shared" si="16"/>
        <v>304.98</v>
      </c>
    </row>
    <row r="76" spans="2:14" ht="38.1" customHeight="1" x14ac:dyDescent="0.25">
      <c r="B76" s="30">
        <v>71</v>
      </c>
      <c r="C76" s="18" t="s">
        <v>50</v>
      </c>
      <c r="D76" s="9">
        <v>1250</v>
      </c>
      <c r="E76" s="41">
        <v>249.56</v>
      </c>
      <c r="F76" s="20">
        <v>72</v>
      </c>
      <c r="G76" s="10">
        <v>199</v>
      </c>
      <c r="H76" s="10">
        <f t="shared" si="12"/>
        <v>200</v>
      </c>
      <c r="I76" s="10">
        <f>2*24.78</f>
        <v>49.56</v>
      </c>
      <c r="J76" s="10">
        <f t="shared" si="13"/>
        <v>249.56</v>
      </c>
      <c r="K76" s="10">
        <f t="shared" si="14"/>
        <v>0</v>
      </c>
      <c r="L76" s="12"/>
      <c r="M76" s="13">
        <f t="shared" si="15"/>
        <v>203.37799999999999</v>
      </c>
      <c r="N76" s="31">
        <f t="shared" si="16"/>
        <v>202.98</v>
      </c>
    </row>
    <row r="77" spans="2:14" ht="38.1" customHeight="1" x14ac:dyDescent="0.25">
      <c r="B77" s="32">
        <v>72</v>
      </c>
      <c r="C77" s="19" t="s">
        <v>77</v>
      </c>
      <c r="D77" s="15">
        <v>900</v>
      </c>
      <c r="E77" s="41">
        <v>125.93</v>
      </c>
      <c r="F77" s="21"/>
      <c r="G77" s="16">
        <v>89</v>
      </c>
      <c r="H77" s="16">
        <f t="shared" si="12"/>
        <v>90</v>
      </c>
      <c r="I77" s="16">
        <f>1.45*24.78</f>
        <v>35.930999999999997</v>
      </c>
      <c r="J77" s="16">
        <f t="shared" si="13"/>
        <v>125.931</v>
      </c>
      <c r="K77" s="16">
        <f t="shared" si="14"/>
        <v>-9.9999999999056399E-4</v>
      </c>
      <c r="L77" s="12"/>
      <c r="M77" s="13">
        <f t="shared" si="15"/>
        <v>90.957999999999998</v>
      </c>
      <c r="N77" s="31">
        <f t="shared" si="16"/>
        <v>90.78</v>
      </c>
    </row>
    <row r="78" spans="2:14" ht="38.1" customHeight="1" x14ac:dyDescent="0.25">
      <c r="B78" s="30">
        <v>73</v>
      </c>
      <c r="C78" s="18" t="s">
        <v>51</v>
      </c>
      <c r="D78" s="9">
        <v>100</v>
      </c>
      <c r="E78" s="41">
        <v>27.15</v>
      </c>
      <c r="F78" s="20">
        <v>120</v>
      </c>
      <c r="G78" s="10">
        <v>6.2</v>
      </c>
      <c r="H78" s="10">
        <f t="shared" si="12"/>
        <v>7.2</v>
      </c>
      <c r="I78" s="10">
        <f>0.25*24.78</f>
        <v>6.1950000000000003</v>
      </c>
      <c r="J78" s="10">
        <f t="shared" si="13"/>
        <v>13.395</v>
      </c>
      <c r="K78" s="10">
        <f t="shared" si="14"/>
        <v>13.754999999999999</v>
      </c>
      <c r="L78" s="12"/>
      <c r="M78" s="13">
        <f t="shared" si="15"/>
        <v>6.3364000000000003</v>
      </c>
      <c r="N78" s="31">
        <f t="shared" si="16"/>
        <v>6.3239999999999998</v>
      </c>
    </row>
    <row r="79" spans="2:14" ht="38.1" customHeight="1" x14ac:dyDescent="0.25">
      <c r="B79" s="32">
        <v>74</v>
      </c>
      <c r="C79" s="19" t="s">
        <v>52</v>
      </c>
      <c r="D79" s="15">
        <v>240</v>
      </c>
      <c r="E79" s="41">
        <v>313</v>
      </c>
      <c r="F79" s="21">
        <v>120</v>
      </c>
      <c r="G79" s="16">
        <v>312</v>
      </c>
      <c r="H79" s="16">
        <f t="shared" si="12"/>
        <v>313</v>
      </c>
      <c r="I79" s="16">
        <f>0*24.78</f>
        <v>0</v>
      </c>
      <c r="J79" s="16">
        <f t="shared" si="13"/>
        <v>313</v>
      </c>
      <c r="K79" s="16">
        <f t="shared" si="14"/>
        <v>0</v>
      </c>
      <c r="L79" s="12"/>
      <c r="M79" s="13">
        <f t="shared" si="15"/>
        <v>318.86399999999998</v>
      </c>
      <c r="N79" s="31">
        <f t="shared" si="16"/>
        <v>318.24</v>
      </c>
    </row>
    <row r="80" spans="2:14" ht="60" x14ac:dyDescent="0.25">
      <c r="B80" s="30">
        <v>75</v>
      </c>
      <c r="C80" s="8" t="s">
        <v>107</v>
      </c>
      <c r="D80" s="9">
        <v>240</v>
      </c>
      <c r="E80" s="41">
        <v>200</v>
      </c>
      <c r="F80" s="20">
        <v>120</v>
      </c>
      <c r="G80" s="10">
        <v>199</v>
      </c>
      <c r="H80" s="10">
        <f t="shared" si="12"/>
        <v>200</v>
      </c>
      <c r="I80" s="10">
        <f>0*24.78</f>
        <v>0</v>
      </c>
      <c r="J80" s="10">
        <f t="shared" si="13"/>
        <v>200</v>
      </c>
      <c r="K80" s="10">
        <f t="shared" si="14"/>
        <v>0</v>
      </c>
      <c r="L80" s="12"/>
      <c r="M80" s="13">
        <f t="shared" si="15"/>
        <v>203.37799999999999</v>
      </c>
      <c r="N80" s="31">
        <f t="shared" si="16"/>
        <v>202.98</v>
      </c>
    </row>
    <row r="81" spans="2:14" ht="38.1" customHeight="1" x14ac:dyDescent="0.25">
      <c r="B81" s="32">
        <v>76</v>
      </c>
      <c r="C81" s="14" t="s">
        <v>67</v>
      </c>
      <c r="D81" s="15">
        <v>1000</v>
      </c>
      <c r="E81" s="41">
        <v>268.45</v>
      </c>
      <c r="F81" s="21">
        <v>72</v>
      </c>
      <c r="G81" s="16">
        <v>234</v>
      </c>
      <c r="H81" s="16">
        <f t="shared" si="12"/>
        <v>235</v>
      </c>
      <c r="I81" s="16">
        <f>1.35*24.78</f>
        <v>33.453000000000003</v>
      </c>
      <c r="J81" s="16">
        <f t="shared" si="13"/>
        <v>268.45299999999997</v>
      </c>
      <c r="K81" s="16">
        <f t="shared" si="14"/>
        <v>-2.9999999999859028E-3</v>
      </c>
      <c r="L81" s="12"/>
      <c r="M81" s="13">
        <f t="shared" si="15"/>
        <v>239.148</v>
      </c>
      <c r="N81" s="31">
        <f t="shared" si="16"/>
        <v>238.68</v>
      </c>
    </row>
    <row r="82" spans="2:14" ht="38.1" customHeight="1" x14ac:dyDescent="0.25">
      <c r="B82" s="30">
        <v>77</v>
      </c>
      <c r="C82" s="18" t="s">
        <v>67</v>
      </c>
      <c r="D82" s="9">
        <v>1000</v>
      </c>
      <c r="E82" s="41">
        <v>298.45</v>
      </c>
      <c r="F82" s="20">
        <v>72</v>
      </c>
      <c r="G82" s="10">
        <v>264</v>
      </c>
      <c r="H82" s="10">
        <f t="shared" si="12"/>
        <v>265</v>
      </c>
      <c r="I82" s="10">
        <f>1.35*24.78</f>
        <v>33.453000000000003</v>
      </c>
      <c r="J82" s="10">
        <f t="shared" si="13"/>
        <v>298.45299999999997</v>
      </c>
      <c r="K82" s="10">
        <f t="shared" si="14"/>
        <v>-2.9999999999859028E-3</v>
      </c>
      <c r="L82" s="12"/>
      <c r="M82" s="13">
        <f t="shared" si="15"/>
        <v>269.80799999999999</v>
      </c>
      <c r="N82" s="31">
        <f t="shared" si="16"/>
        <v>269.27999999999997</v>
      </c>
    </row>
    <row r="83" spans="2:14" ht="38.1" customHeight="1" x14ac:dyDescent="0.25">
      <c r="B83" s="32">
        <v>78</v>
      </c>
      <c r="C83" s="19" t="s">
        <v>53</v>
      </c>
      <c r="D83" s="15">
        <v>1000</v>
      </c>
      <c r="E83" s="41">
        <v>302.95999999999998</v>
      </c>
      <c r="F83" s="21"/>
      <c r="G83" s="16">
        <v>269</v>
      </c>
      <c r="H83" s="16">
        <f t="shared" si="12"/>
        <v>270</v>
      </c>
      <c r="I83" s="16">
        <f>1.33*24.78</f>
        <v>32.9574</v>
      </c>
      <c r="J83" s="16">
        <f t="shared" si="13"/>
        <v>302.95740000000001</v>
      </c>
      <c r="K83" s="16">
        <f t="shared" si="14"/>
        <v>2.5999999999726242E-3</v>
      </c>
      <c r="L83" s="12"/>
      <c r="M83" s="13">
        <f t="shared" si="15"/>
        <v>274.91800000000001</v>
      </c>
      <c r="N83" s="31">
        <f t="shared" si="16"/>
        <v>274.38</v>
      </c>
    </row>
    <row r="84" spans="2:14" ht="38.1" customHeight="1" x14ac:dyDescent="0.25">
      <c r="B84" s="30">
        <v>79</v>
      </c>
      <c r="C84" s="18" t="s">
        <v>78</v>
      </c>
      <c r="D84" s="9">
        <v>1200</v>
      </c>
      <c r="E84" s="41">
        <v>259.12</v>
      </c>
      <c r="F84" s="20">
        <v>72</v>
      </c>
      <c r="G84" s="10">
        <v>159</v>
      </c>
      <c r="H84" s="10">
        <f t="shared" si="12"/>
        <v>160</v>
      </c>
      <c r="I84" s="10">
        <f>4*24.78</f>
        <v>99.12</v>
      </c>
      <c r="J84" s="10">
        <f t="shared" si="13"/>
        <v>259.12</v>
      </c>
      <c r="K84" s="10">
        <f t="shared" si="14"/>
        <v>0</v>
      </c>
      <c r="L84" s="12"/>
      <c r="M84" s="13">
        <f t="shared" si="15"/>
        <v>162.49799999999999</v>
      </c>
      <c r="N84" s="31">
        <f t="shared" si="16"/>
        <v>162.18</v>
      </c>
    </row>
    <row r="85" spans="2:14" ht="38.1" customHeight="1" x14ac:dyDescent="0.25">
      <c r="B85" s="32">
        <v>80</v>
      </c>
      <c r="C85" s="19" t="s">
        <v>79</v>
      </c>
      <c r="D85" s="15">
        <v>240</v>
      </c>
      <c r="E85" s="41">
        <v>500.34</v>
      </c>
      <c r="F85" s="21">
        <v>20</v>
      </c>
      <c r="G85" s="16">
        <v>312</v>
      </c>
      <c r="H85" s="16">
        <f t="shared" si="12"/>
        <v>313</v>
      </c>
      <c r="I85" s="16">
        <f>7.56*24.78</f>
        <v>187.33680000000001</v>
      </c>
      <c r="J85" s="16">
        <f t="shared" si="13"/>
        <v>500.33680000000004</v>
      </c>
      <c r="K85" s="16">
        <f t="shared" si="14"/>
        <v>3.1999999999356987E-3</v>
      </c>
      <c r="L85" s="12"/>
      <c r="M85" s="13">
        <f t="shared" si="15"/>
        <v>318.86399999999998</v>
      </c>
      <c r="N85" s="31">
        <f t="shared" si="16"/>
        <v>318.24</v>
      </c>
    </row>
    <row r="86" spans="2:14" ht="45" x14ac:dyDescent="0.25">
      <c r="B86" s="30">
        <v>81</v>
      </c>
      <c r="C86" s="8" t="s">
        <v>66</v>
      </c>
      <c r="D86" s="9">
        <v>1500</v>
      </c>
      <c r="E86" s="41">
        <v>449.56</v>
      </c>
      <c r="F86" s="20">
        <v>72</v>
      </c>
      <c r="G86" s="10">
        <v>399</v>
      </c>
      <c r="H86" s="10">
        <f t="shared" si="12"/>
        <v>400</v>
      </c>
      <c r="I86" s="10">
        <f>2*24.78</f>
        <v>49.56</v>
      </c>
      <c r="J86" s="10">
        <f t="shared" si="13"/>
        <v>449.56</v>
      </c>
      <c r="K86" s="10">
        <f t="shared" si="14"/>
        <v>0</v>
      </c>
      <c r="L86" s="12"/>
      <c r="M86" s="13">
        <f t="shared" si="15"/>
        <v>407.77800000000002</v>
      </c>
      <c r="N86" s="31">
        <f t="shared" si="16"/>
        <v>406.98</v>
      </c>
    </row>
    <row r="87" spans="2:14" ht="38.1" customHeight="1" x14ac:dyDescent="0.25">
      <c r="B87" s="32">
        <v>82</v>
      </c>
      <c r="C87" s="19" t="s">
        <v>54</v>
      </c>
      <c r="D87" s="15">
        <v>1000</v>
      </c>
      <c r="E87" s="41">
        <v>499.56</v>
      </c>
      <c r="F87" s="21">
        <v>72</v>
      </c>
      <c r="G87" s="16">
        <v>449</v>
      </c>
      <c r="H87" s="16">
        <f t="shared" si="12"/>
        <v>450</v>
      </c>
      <c r="I87" s="16">
        <f>2*24.78</f>
        <v>49.56</v>
      </c>
      <c r="J87" s="16">
        <f t="shared" si="13"/>
        <v>499.56</v>
      </c>
      <c r="K87" s="16">
        <f t="shared" si="14"/>
        <v>0</v>
      </c>
      <c r="L87" s="12"/>
      <c r="M87" s="13">
        <f t="shared" si="15"/>
        <v>458.87799999999999</v>
      </c>
      <c r="N87" s="31">
        <f t="shared" si="16"/>
        <v>457.98</v>
      </c>
    </row>
    <row r="88" spans="2:14" ht="60" x14ac:dyDescent="0.25">
      <c r="B88" s="30">
        <v>83</v>
      </c>
      <c r="C88" s="44" t="s">
        <v>87</v>
      </c>
      <c r="D88" s="9">
        <v>1500</v>
      </c>
      <c r="E88" s="41">
        <v>475.56</v>
      </c>
      <c r="F88" s="20">
        <v>72</v>
      </c>
      <c r="G88" s="10">
        <v>424</v>
      </c>
      <c r="H88" s="10">
        <f t="shared" si="12"/>
        <v>425</v>
      </c>
      <c r="I88" s="10">
        <f>2*24.78</f>
        <v>49.56</v>
      </c>
      <c r="J88" s="10">
        <f t="shared" si="13"/>
        <v>474.56</v>
      </c>
      <c r="K88" s="10">
        <f t="shared" si="14"/>
        <v>1</v>
      </c>
      <c r="L88" s="12"/>
      <c r="M88" s="13">
        <f t="shared" si="15"/>
        <v>433.32799999999997</v>
      </c>
      <c r="N88" s="31">
        <f>(G$88*$N$1)+G88</f>
        <v>432.48</v>
      </c>
    </row>
    <row r="89" spans="2:14" ht="38.1" customHeight="1" x14ac:dyDescent="0.25">
      <c r="B89" s="32">
        <v>84</v>
      </c>
      <c r="C89" s="19" t="s">
        <v>55</v>
      </c>
      <c r="D89" s="15">
        <v>1250</v>
      </c>
      <c r="E89" s="41">
        <v>366.18</v>
      </c>
      <c r="F89" s="21">
        <v>63</v>
      </c>
      <c r="G89" s="16">
        <v>273</v>
      </c>
      <c r="H89" s="16">
        <f t="shared" si="12"/>
        <v>274</v>
      </c>
      <c r="I89" s="16">
        <f>3.72*24.78</f>
        <v>92.181600000000003</v>
      </c>
      <c r="J89" s="16">
        <f t="shared" si="13"/>
        <v>366.1816</v>
      </c>
      <c r="K89" s="16">
        <f t="shared" si="14"/>
        <v>-1.5999999999962711E-3</v>
      </c>
      <c r="L89" s="12"/>
      <c r="M89" s="13">
        <f t="shared" si="15"/>
        <v>279.00599999999997</v>
      </c>
      <c r="N89" s="31">
        <f t="shared" ref="N89:N94" si="17">(G89*$N$1)+G89</f>
        <v>278.45999999999998</v>
      </c>
    </row>
    <row r="90" spans="2:14" ht="38.1" customHeight="1" x14ac:dyDescent="0.25">
      <c r="B90" s="30">
        <v>85</v>
      </c>
      <c r="C90" s="18" t="s">
        <v>56</v>
      </c>
      <c r="D90" s="9">
        <v>1200</v>
      </c>
      <c r="E90" s="41">
        <v>373.12</v>
      </c>
      <c r="F90" s="20">
        <v>63</v>
      </c>
      <c r="G90" s="10">
        <v>273</v>
      </c>
      <c r="H90" s="10">
        <f t="shared" si="12"/>
        <v>274</v>
      </c>
      <c r="I90" s="10">
        <f>4*24.78</f>
        <v>99.12</v>
      </c>
      <c r="J90" s="10">
        <f t="shared" si="13"/>
        <v>373.12</v>
      </c>
      <c r="K90" s="10">
        <f t="shared" si="14"/>
        <v>0</v>
      </c>
      <c r="L90" s="12"/>
      <c r="M90" s="13">
        <f t="shared" si="15"/>
        <v>279.00599999999997</v>
      </c>
      <c r="N90" s="31">
        <f t="shared" si="17"/>
        <v>278.45999999999998</v>
      </c>
    </row>
    <row r="91" spans="2:14" ht="38.1" customHeight="1" x14ac:dyDescent="0.25">
      <c r="B91" s="32">
        <v>86</v>
      </c>
      <c r="C91" s="19" t="s">
        <v>56</v>
      </c>
      <c r="D91" s="15">
        <v>1200</v>
      </c>
      <c r="E91" s="41">
        <v>259.12</v>
      </c>
      <c r="F91" s="21">
        <v>63</v>
      </c>
      <c r="G91" s="16">
        <v>159</v>
      </c>
      <c r="H91" s="16">
        <f t="shared" si="12"/>
        <v>160</v>
      </c>
      <c r="I91" s="16">
        <f>4*24.78</f>
        <v>99.12</v>
      </c>
      <c r="J91" s="16">
        <f t="shared" si="13"/>
        <v>259.12</v>
      </c>
      <c r="K91" s="16">
        <f t="shared" si="14"/>
        <v>0</v>
      </c>
      <c r="L91" s="12"/>
      <c r="M91" s="13">
        <f t="shared" si="15"/>
        <v>162.49799999999999</v>
      </c>
      <c r="N91" s="31">
        <f t="shared" si="17"/>
        <v>162.18</v>
      </c>
    </row>
    <row r="92" spans="2:14" ht="38.1" customHeight="1" x14ac:dyDescent="0.25">
      <c r="B92" s="30">
        <v>87</v>
      </c>
      <c r="C92" s="18" t="s">
        <v>57</v>
      </c>
      <c r="D92" s="9">
        <v>250</v>
      </c>
      <c r="E92" s="41">
        <v>343.98</v>
      </c>
      <c r="F92" s="20">
        <v>20</v>
      </c>
      <c r="G92" s="10">
        <v>312</v>
      </c>
      <c r="H92" s="10">
        <f t="shared" si="12"/>
        <v>313</v>
      </c>
      <c r="I92" s="10">
        <f>1.25*24.78</f>
        <v>30.975000000000001</v>
      </c>
      <c r="J92" s="10">
        <f t="shared" si="13"/>
        <v>343.97500000000002</v>
      </c>
      <c r="K92" s="10">
        <f t="shared" si="14"/>
        <v>4.9999999999954525E-3</v>
      </c>
      <c r="L92" s="12"/>
      <c r="M92" s="13">
        <f t="shared" si="15"/>
        <v>318.86399999999998</v>
      </c>
      <c r="N92" s="31">
        <f t="shared" si="17"/>
        <v>318.24</v>
      </c>
    </row>
    <row r="93" spans="2:14" ht="38.1" customHeight="1" x14ac:dyDescent="0.25">
      <c r="B93" s="32">
        <v>88</v>
      </c>
      <c r="C93" s="14" t="s">
        <v>62</v>
      </c>
      <c r="D93" s="15">
        <v>46</v>
      </c>
      <c r="E93" s="41">
        <v>14.51</v>
      </c>
      <c r="F93" s="21">
        <v>72</v>
      </c>
      <c r="G93" s="16">
        <v>12</v>
      </c>
      <c r="H93" s="16">
        <f t="shared" si="12"/>
        <v>13</v>
      </c>
      <c r="I93" s="16">
        <f>0.061*24.78</f>
        <v>1.5115800000000001</v>
      </c>
      <c r="J93" s="16">
        <f t="shared" si="13"/>
        <v>14.51158</v>
      </c>
      <c r="K93" s="16">
        <f t="shared" si="14"/>
        <v>-1.5800000000005809E-3</v>
      </c>
      <c r="L93" s="12"/>
      <c r="M93" s="13">
        <f t="shared" si="15"/>
        <v>12.263999999999999</v>
      </c>
      <c r="N93" s="31">
        <f t="shared" si="17"/>
        <v>12.24</v>
      </c>
    </row>
    <row r="94" spans="2:14" ht="38.1" customHeight="1" x14ac:dyDescent="0.25">
      <c r="B94" s="30">
        <v>89</v>
      </c>
      <c r="C94" s="18" t="s">
        <v>58</v>
      </c>
      <c r="D94" s="9">
        <v>1200</v>
      </c>
      <c r="E94" s="41">
        <v>383.62</v>
      </c>
      <c r="F94" s="20">
        <v>96</v>
      </c>
      <c r="G94" s="10">
        <v>312</v>
      </c>
      <c r="H94" s="10">
        <f t="shared" si="12"/>
        <v>313</v>
      </c>
      <c r="I94" s="10">
        <f>2.85*24.78</f>
        <v>70.623000000000005</v>
      </c>
      <c r="J94" s="10">
        <f t="shared" si="13"/>
        <v>383.62299999999999</v>
      </c>
      <c r="K94" s="10">
        <f t="shared" si="14"/>
        <v>-2.9999999999859028E-3</v>
      </c>
      <c r="L94" s="12"/>
      <c r="M94" s="13">
        <f t="shared" si="15"/>
        <v>318.86399999999998</v>
      </c>
      <c r="N94" s="31">
        <f t="shared" si="17"/>
        <v>318.24</v>
      </c>
    </row>
    <row r="95" spans="2:14" ht="38.1" customHeight="1" x14ac:dyDescent="0.25">
      <c r="B95" s="57" t="s">
        <v>83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9"/>
    </row>
    <row r="96" spans="2:14" ht="38.1" customHeight="1" x14ac:dyDescent="0.25">
      <c r="B96" s="30">
        <v>90</v>
      </c>
      <c r="C96" s="18" t="s">
        <v>59</v>
      </c>
      <c r="D96" s="9">
        <v>1250</v>
      </c>
      <c r="E96" s="41">
        <v>159.79</v>
      </c>
      <c r="F96" s="20">
        <v>96</v>
      </c>
      <c r="G96" s="10">
        <v>158</v>
      </c>
      <c r="H96" s="10">
        <f>G96+1</f>
        <v>159</v>
      </c>
      <c r="I96" s="10">
        <f>25*0.0315</f>
        <v>0.78749999999999998</v>
      </c>
      <c r="J96" s="10">
        <f>H96+I96</f>
        <v>159.78749999999999</v>
      </c>
      <c r="K96" s="10">
        <f>E96-J96</f>
        <v>2.4999999999977263E-3</v>
      </c>
      <c r="L96" s="12"/>
      <c r="M96" s="13">
        <f>(G96*$M$1)+G96</f>
        <v>161.476</v>
      </c>
      <c r="N96" s="31">
        <f>(G96*$N$1)+G96</f>
        <v>161.16</v>
      </c>
    </row>
    <row r="97" spans="2:14" ht="38.1" customHeight="1" x14ac:dyDescent="0.25">
      <c r="B97" s="48" t="s">
        <v>84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50"/>
    </row>
    <row r="98" spans="2:14" ht="38.1" customHeight="1" thickBot="1" x14ac:dyDescent="0.3">
      <c r="B98" s="33">
        <v>91</v>
      </c>
      <c r="C98" s="34" t="s">
        <v>60</v>
      </c>
      <c r="D98" s="35">
        <v>576</v>
      </c>
      <c r="E98" s="42">
        <v>141.36000000000001</v>
      </c>
      <c r="F98" s="37">
        <v>112</v>
      </c>
      <c r="G98" s="36">
        <v>140</v>
      </c>
      <c r="H98" s="36">
        <f>G98+1</f>
        <v>141</v>
      </c>
      <c r="I98" s="36">
        <f>18.14/50</f>
        <v>0.36280000000000001</v>
      </c>
      <c r="J98" s="36">
        <f>H98+I98</f>
        <v>141.36279999999999</v>
      </c>
      <c r="K98" s="36">
        <f>E98-J98</f>
        <v>-2.7999999999792635E-3</v>
      </c>
      <c r="L98" s="38"/>
      <c r="M98" s="39">
        <f>(G98*$M$1)+G98</f>
        <v>143.08000000000001</v>
      </c>
      <c r="N98" s="40">
        <f>(G98*$N$1)+G98</f>
        <v>142.80000000000001</v>
      </c>
    </row>
    <row r="100" spans="2:14" ht="38.1" customHeight="1" x14ac:dyDescent="0.25">
      <c r="C100" s="3"/>
    </row>
    <row r="101" spans="2:14" ht="38.1" customHeight="1" x14ac:dyDescent="0.25">
      <c r="C101" s="4"/>
    </row>
    <row r="102" spans="2:14" ht="38.1" customHeight="1" x14ac:dyDescent="0.25">
      <c r="C102" s="4"/>
    </row>
    <row r="103" spans="2:14" ht="38.1" customHeight="1" x14ac:dyDescent="0.25">
      <c r="C103" s="4"/>
    </row>
    <row r="104" spans="2:14" ht="38.1" customHeight="1" x14ac:dyDescent="0.25">
      <c r="C104" s="4"/>
    </row>
    <row r="105" spans="2:14" ht="38.1" customHeight="1" x14ac:dyDescent="0.25">
      <c r="C105" s="4"/>
    </row>
    <row r="106" spans="2:14" ht="38.1" customHeight="1" x14ac:dyDescent="0.25">
      <c r="C106" s="4"/>
    </row>
    <row r="107" spans="2:14" ht="38.1" customHeight="1" x14ac:dyDescent="0.25">
      <c r="C107" s="4"/>
    </row>
    <row r="108" spans="2:14" ht="38.1" customHeight="1" x14ac:dyDescent="0.25">
      <c r="C108" s="4"/>
    </row>
    <row r="109" spans="2:14" ht="38.1" customHeight="1" x14ac:dyDescent="0.25">
      <c r="C109" s="4"/>
    </row>
    <row r="110" spans="2:14" ht="38.1" customHeight="1" x14ac:dyDescent="0.25">
      <c r="C110" s="4"/>
    </row>
    <row r="111" spans="2:14" ht="38.1" customHeight="1" x14ac:dyDescent="0.25">
      <c r="C111" s="4"/>
    </row>
    <row r="112" spans="2:14" ht="38.1" customHeight="1" x14ac:dyDescent="0.25">
      <c r="C112" s="4"/>
    </row>
    <row r="113" spans="3:3" ht="38.1" customHeight="1" x14ac:dyDescent="0.25">
      <c r="C113" s="4"/>
    </row>
    <row r="115" spans="3:3" ht="38.1" customHeight="1" x14ac:dyDescent="0.25">
      <c r="C115" s="5"/>
    </row>
    <row r="116" spans="3:3" ht="38.1" customHeight="1" x14ac:dyDescent="0.25">
      <c r="C116" s="6"/>
    </row>
    <row r="117" spans="3:3" ht="38.1" customHeight="1" x14ac:dyDescent="0.25">
      <c r="C117" s="6"/>
    </row>
    <row r="118" spans="3:3" ht="38.1" customHeight="1" x14ac:dyDescent="0.25">
      <c r="C118" s="6"/>
    </row>
    <row r="119" spans="3:3" ht="38.1" customHeight="1" x14ac:dyDescent="0.25">
      <c r="C119" s="6"/>
    </row>
    <row r="120" spans="3:3" ht="38.1" customHeight="1" x14ac:dyDescent="0.25">
      <c r="C120" s="6"/>
    </row>
    <row r="121" spans="3:3" ht="38.1" customHeight="1" x14ac:dyDescent="0.25">
      <c r="C121" s="6"/>
    </row>
  </sheetData>
  <mergeCells count="5">
    <mergeCell ref="B63:N63"/>
    <mergeCell ref="B97:N97"/>
    <mergeCell ref="B52:N52"/>
    <mergeCell ref="B3:N3"/>
    <mergeCell ref="B95:N95"/>
  </mergeCells>
  <pageMargins left="0.19684930008748908" right="0.19684930008748908" top="0.23622047244094488" bottom="0.51180993000874886" header="0.31496062992125984" footer="0.31496062992125984"/>
  <pageSetup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maman</cp:lastModifiedBy>
  <cp:lastPrinted>2026-08-28T16:04:28Z</cp:lastPrinted>
  <dcterms:created xsi:type="dcterms:W3CDTF">2026-08-28T14:52:10Z</dcterms:created>
  <dcterms:modified xsi:type="dcterms:W3CDTF">2026-09-01T14:46:37Z</dcterms:modified>
</cp:coreProperties>
</file>