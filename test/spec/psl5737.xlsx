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005\users$\cluna\Desktop\EMBARQUE 9-2-2026 (1) CROWLEY (INV 5737)\"/>
    </mc:Choice>
  </mc:AlternateContent>
  <xr:revisionPtr revIDLastSave="0" documentId="13_ncr:1_{5D8FCF2C-EDA2-41FB-98DF-1F480FBD5E35}" xr6:coauthVersionLast="47" xr6:coauthVersionMax="47" xr10:uidLastSave="{00000000-0000-0000-0000-000000000000}"/>
  <bookViews>
    <workbookView xWindow="-120" yWindow="-120" windowWidth="29040" windowHeight="15720" xr2:uid="{FD69057D-3714-45F3-8E5C-FB8FE70BDFF8}"/>
  </bookViews>
  <sheets>
    <sheet name="PSL 5737  " sheetId="1" r:id="rId1"/>
  </sheets>
  <definedNames>
    <definedName name="_xlnm.Print_Area" localSheetId="0">'PSL 5737  '!$A$1:$F$46</definedName>
    <definedName name="_xlnm.Print_Titles" localSheetId="0">'PSL 5737  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E3" i="1"/>
  <c r="F38" i="1" l="1"/>
  <c r="D46" i="1" s="1"/>
  <c r="E38" i="1"/>
  <c r="D45" i="1" s="1"/>
  <c r="D38" i="1"/>
  <c r="A38" i="1"/>
</calcChain>
</file>

<file path=xl/sharedStrings.xml><?xml version="1.0" encoding="utf-8"?>
<sst xmlns="http://schemas.openxmlformats.org/spreadsheetml/2006/main" count="63" uniqueCount="57">
  <si>
    <t>Quantity of Master Cases</t>
  </si>
  <si>
    <t xml:space="preserve">Code </t>
  </si>
  <si>
    <t>Description</t>
  </si>
  <si>
    <t>Net weight per case (Lb)</t>
  </si>
  <si>
    <t>Gross weight per case (Lb)</t>
  </si>
  <si>
    <t>Ship To:</t>
  </si>
  <si>
    <t>Bill To:</t>
  </si>
  <si>
    <t>Packing Slip</t>
  </si>
  <si>
    <t>RNC 131684955</t>
  </si>
  <si>
    <t>Number</t>
  </si>
  <si>
    <t>Date</t>
  </si>
  <si>
    <t>Ship Date</t>
  </si>
  <si>
    <t>Terms</t>
  </si>
  <si>
    <t>P.O. Number</t>
  </si>
  <si>
    <t>Project</t>
  </si>
  <si>
    <t>Via</t>
  </si>
  <si>
    <t>Origin</t>
  </si>
  <si>
    <t>Container</t>
  </si>
  <si>
    <t>Cigars Quantity</t>
  </si>
  <si>
    <t>Ud</t>
  </si>
  <si>
    <t>Wrappers Quantity</t>
  </si>
  <si>
    <t>Rolling Paper Quantity</t>
  </si>
  <si>
    <t>Net Weight</t>
  </si>
  <si>
    <t>Kg</t>
  </si>
  <si>
    <t>Gross Weight</t>
  </si>
  <si>
    <t>Net 30 Days</t>
  </si>
  <si>
    <t>Hannacan Enterprises Inc</t>
  </si>
  <si>
    <t>6866 NW 20th Ave</t>
  </si>
  <si>
    <t>Ft Lauderdale FL 33309</t>
  </si>
  <si>
    <t>Quantity Units</t>
  </si>
  <si>
    <t>Crowley</t>
  </si>
  <si>
    <t>FOB Puerto Plata</t>
  </si>
  <si>
    <t>SEGU-522984-8</t>
  </si>
  <si>
    <t>Sweetwoods Cigars Dark Banana 720 ct (Large Cigars) net weight 5.75  lbs per 1 case  2/NP</t>
  </si>
  <si>
    <t>Sweetwoods Cigars Dark Vanilla  720 ct (Large Cigars) net weight 5.75  lbs per 1 case  2/NP</t>
  </si>
  <si>
    <t>Sweetwoods Cigars Dark Strawberry Cream   720 ct (Large Cigars) net weight 5.75  lbs per 1 case  2/NP</t>
  </si>
  <si>
    <t>Sweetwoods Cigars Blue Raspberry 720 ct (Large Cigars) net weight 5.75  lbs per 1 case  2/1.49</t>
  </si>
  <si>
    <t>Sweetwoods Cigars Honey Berry  720 ct (Large Cigars) net weight 5.75  lbs per 1 case  2/1.69</t>
  </si>
  <si>
    <t>Sweetwoods Cigars Russian Cream  720 ct (Large Cigars) net weight 5.75  lbs per 1 case  2/1.69</t>
  </si>
  <si>
    <t>Sweetwoods Cigars Cognac  720 ct (Large Cigars) net weight 5.75  lbs per 1 case  2/1.69</t>
  </si>
  <si>
    <t>GT Cigarillos Mini Flavored Green Sweet 1080 Ct (Large Cigar) net Weight 6.19 Lbs per 1 Case 3/1.29</t>
  </si>
  <si>
    <t>GT Cigarillos Mini Flavored Diamond 1080 Ct (Large Cigar) net Weight 6.19 Lbs per 1 Case 3/1.29</t>
  </si>
  <si>
    <t>HD Cigarillos flavored Honey 1080 ct (large cigars) net weight 7.43 lbs per 1 case  3/1.49</t>
  </si>
  <si>
    <t>4 K's Cigarillos flavored Sweet Delicious 1440 ct (cigars Large) net weight 9.91 lbs per 1 case 4/1.49</t>
  </si>
  <si>
    <t>4 K's Cigarillos flavored  Napa Grape 1440 ct (cigars Large) net weight 9.91 lbs per 1 case  4/1.49</t>
  </si>
  <si>
    <t>4 K's Cigarillos flavored Kiwi Berry  1440 ct (cigars Large) net weight 9.91 lbs  per 1 case   4/1.49</t>
  </si>
  <si>
    <t>4 K's Cigarillos flavored French Vanilla  1440 ct (cigars Large) net weight 9.91 lbs  per 1 case  4/1.49</t>
  </si>
  <si>
    <t>Sweetwoods Cigars Russian Cream 720 ct 5Pk (Large Cigars) net weight 5.75  lbs per 1 case</t>
  </si>
  <si>
    <t>Sweetwoods Cigars Dark Sweet   720 ct (Large Cigars) net weight 5.75  lbs per 1 case  2/NP</t>
  </si>
  <si>
    <t>Sweetwoods Cigars Dark Leaf   720 ct (Large Cigars) net weight 5.75  lbs per 1 case  2/NP</t>
  </si>
  <si>
    <t>Sweetwoods Cigars Dark Aromatic 720 ct (Large Cigars) net weight 5.75  lbs per 1 case  2/NP</t>
  </si>
  <si>
    <t>Sweetwoods Cigars Sweet Aroma  720 ct (Large Cigars) net weight 5.75  lbs per 1 case  2/1.49</t>
  </si>
  <si>
    <t>Sweetwoods Cigars Classic   720 ct (Large Cigars) net weight 5.75  lbs per 1 case  2/1.49</t>
  </si>
  <si>
    <t>Sweetwoods Cigars Diamond   720 ct (Large Cigars) net weight 5.75  lbs per 1 case  2/1.49</t>
  </si>
  <si>
    <t>Sweetwoods California Cigars Aromatic  720 ct (Large Cigars) net weight 5.75  lbs per 1 case  No Price</t>
  </si>
  <si>
    <t>Sweetwoods California Cigars Black  720 ct (Large Cigars) net weight 5.75  lbs per 1 case  No Price</t>
  </si>
  <si>
    <t>Pallets Containing packaging materials move from warehouse to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</si>
</sst>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Mongolian Baiti"/>
      <family val="4"/>
    </font>
    <font>
      <b/>
      <sz val="11"/>
      <name val="Mongolian Baiti"/>
      <family val="4"/>
    </font>
    <font>
      <b/>
      <sz val="12"/>
      <color theme="1"/>
      <name val="Mongolian Baiti"/>
      <family val="4"/>
    </font>
    <font>
      <sz val="10"/>
      <color theme="1"/>
      <name val="Mongolian Baiti"/>
      <family val="4"/>
    </font>
    <font>
      <b/>
      <sz val="18"/>
      <color theme="9" tint="-0.499984740745262"/>
      <name val="Mongolian Baiti"/>
      <family val="4"/>
    </font>
    <font>
      <b/>
      <sz val="8"/>
      <color theme="9" tint="-0.499984740745262"/>
      <name val="Mongolian Baiti"/>
      <family val="4"/>
    </font>
    <font>
      <b/>
      <sz val="10"/>
      <name val="Mongolian Baiti"/>
      <family val="4"/>
    </font>
    <font>
      <b/>
      <sz val="11"/>
      <color theme="1"/>
      <name val="Mongolian Baiti"/>
      <family val="4"/>
    </font>
    <font>
      <sz val="11"/>
      <color theme="1"/>
      <name val="Arial"/>
      <family val="2"/>
    </font>
    <font>
      <sz val="11"/>
      <name val="Arial"/>
      <family val="2"/>
    </font>
    <font>
      <sz val="11"/>
      <name val="Mongolian Baiti"/>
      <family val="4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0"/>
      <name val="Tahoma"/>
      <family val="2"/>
    </font>
    <font>
      <sz val="10"/>
      <name val="Tahoma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14" fontId="10" fillId="0" borderId="0" xfId="0" applyNumberFormat="1" applyFont="1" applyAlignment="1">
      <alignment horizontal="right"/>
    </xf>
    <xf numFmtId="0" fontId="12" fillId="0" borderId="0" xfId="0" applyFont="1"/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vertical="center"/>
    </xf>
    <xf numFmtId="2" fontId="13" fillId="2" borderId="4" xfId="0" applyNumberFormat="1" applyFont="1" applyFill="1" applyBorder="1" applyAlignment="1">
      <alignment vertical="center"/>
    </xf>
    <xf numFmtId="164" fontId="14" fillId="2" borderId="0" xfId="1" applyNumberFormat="1" applyFont="1" applyFill="1" applyBorder="1" applyAlignment="1">
      <alignment vertical="center"/>
    </xf>
    <xf numFmtId="43" fontId="14" fillId="3" borderId="0" xfId="1" applyFont="1" applyFill="1"/>
    <xf numFmtId="0" fontId="13" fillId="3" borderId="0" xfId="0" applyFont="1" applyFill="1"/>
    <xf numFmtId="165" fontId="15" fillId="2" borderId="0" xfId="1" applyNumberFormat="1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wrapText="1"/>
    </xf>
    <xf numFmtId="43" fontId="15" fillId="2" borderId="0" xfId="1" applyFont="1" applyFill="1" applyBorder="1" applyAlignment="1">
      <alignment vertical="center"/>
    </xf>
    <xf numFmtId="43" fontId="16" fillId="2" borderId="0" xfId="1" applyFont="1" applyFill="1" applyBorder="1" applyAlignment="1">
      <alignment vertical="center"/>
    </xf>
    <xf numFmtId="0" fontId="13" fillId="3" borderId="0" xfId="0" applyFont="1" applyFill="1" applyAlignment="1">
      <alignment horizontal="left"/>
    </xf>
    <xf numFmtId="0" fontId="14" fillId="3" borderId="0" xfId="0" applyFont="1" applyFill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43" fontId="15" fillId="2" borderId="0" xfId="0" applyNumberFormat="1" applyFont="1" applyFill="1" applyAlignment="1">
      <alignment vertical="center"/>
    </xf>
    <xf numFmtId="0" fontId="13" fillId="3" borderId="0" xfId="0" applyFont="1" applyFill="1" applyAlignment="1">
      <alignment vertical="center"/>
    </xf>
    <xf numFmtId="164" fontId="14" fillId="3" borderId="0" xfId="1" applyNumberFormat="1" applyFont="1" applyFill="1" applyAlignment="1">
      <alignment vertical="center"/>
    </xf>
    <xf numFmtId="0" fontId="10" fillId="0" borderId="0" xfId="0" applyFont="1" applyAlignment="1">
      <alignment horizontal="left"/>
    </xf>
    <xf numFmtId="0" fontId="14" fillId="2" borderId="0" xfId="0" applyFont="1" applyFill="1" applyAlignment="1">
      <alignment horizontal="center" vertical="center" wrapText="1"/>
    </xf>
    <xf numFmtId="49" fontId="17" fillId="0" borderId="0" xfId="0" applyNumberFormat="1" applyFont="1" applyAlignment="1">
      <alignment vertical="center" wrapText="1"/>
    </xf>
    <xf numFmtId="37" fontId="13" fillId="2" borderId="0" xfId="1" applyNumberFormat="1" applyFont="1" applyFill="1" applyBorder="1" applyAlignment="1">
      <alignment horizontal="right" vertical="center" wrapText="1"/>
    </xf>
    <xf numFmtId="2" fontId="13" fillId="3" borderId="0" xfId="0" applyNumberFormat="1" applyFont="1" applyFill="1" applyAlignment="1">
      <alignment horizontal="righ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vertical="center" wrapText="1"/>
    </xf>
    <xf numFmtId="2" fontId="13" fillId="2" borderId="0" xfId="0" applyNumberFormat="1" applyFont="1" applyFill="1" applyAlignment="1">
      <alignment horizontal="right" vertical="center" wrapText="1"/>
    </xf>
    <xf numFmtId="0" fontId="17" fillId="2" borderId="0" xfId="0" applyFont="1" applyFill="1" applyAlignment="1">
      <alignment horizontal="center" vertical="center" wrapText="1"/>
    </xf>
    <xf numFmtId="49" fontId="13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49" fontId="17" fillId="0" borderId="0" xfId="0" applyNumberFormat="1" applyFont="1" applyAlignment="1">
      <alignment horizontal="left" vertical="center" wrapText="1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65" fontId="13" fillId="2" borderId="0" xfId="2" applyNumberFormat="1" applyFont="1" applyFill="1" applyBorder="1" applyAlignment="1">
      <alignment horizontal="right" vertical="center"/>
    </xf>
    <xf numFmtId="2" fontId="13" fillId="2" borderId="0" xfId="0" applyNumberFormat="1" applyFont="1" applyFill="1" applyAlignment="1">
      <alignment horizontal="right" vertical="center"/>
    </xf>
    <xf numFmtId="2" fontId="22" fillId="2" borderId="0" xfId="0" applyNumberFormat="1" applyFont="1" applyFill="1" applyAlignment="1">
      <alignment horizontal="right" vertical="center" wrapText="1"/>
    </xf>
    <xf numFmtId="0" fontId="14" fillId="0" borderId="0" xfId="0" applyFont="1" applyAlignment="1">
      <alignment vertical="center"/>
    </xf>
    <xf numFmtId="43" fontId="15" fillId="2" borderId="0" xfId="1" applyNumberFormat="1" applyFont="1" applyFill="1" applyBorder="1" applyAlignment="1">
      <alignment vertical="center"/>
    </xf>
  </cellXfs>
  <cellStyles count="3">
    <cellStyle name="Comma 4" xfId="2" xr:uid="{2EEF8404-D35E-4F3C-8BE6-90021F45F833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1236687</xdr:colOff>
      <xdr:row>0</xdr:row>
      <xdr:rowOff>609600</xdr:rowOff>
    </xdr:to>
    <xdr:pic>
      <xdr:nvPicPr>
        <xdr:cNvPr id="6614" name="Picture 732">
          <a:extLst>
            <a:ext uri="{FF2B5EF4-FFF2-40B4-BE49-F238E27FC236}">
              <a16:creationId xmlns:a16="http://schemas.microsoft.com/office/drawing/2014/main" id="{C56A6DCB-9490-4287-802B-3198A9EC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3525" y="0"/>
          <a:ext cx="1236687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76EA-8339-4BFD-AE4D-4263552D0AFE}">
  <dimension ref="A1:H46"/>
  <sheetViews>
    <sheetView tabSelected="1" workbookViewId="0">
      <selection activeCell="E1" sqref="E1"/>
    </sheetView>
  </sheetViews>
  <sheetFormatPr baseColWidth="10" defaultRowHeight="15" x14ac:dyDescent="0.25"/>
  <cols>
    <col min="1" max="1" width="10.7109375" customWidth="1"/>
    <col min="2" max="2" width="12.28515625" hidden="1" customWidth="1"/>
    <col min="3" max="3" width="54.42578125" customWidth="1"/>
    <col min="4" max="4" width="14.85546875" customWidth="1"/>
    <col min="5" max="5" width="16.28515625" customWidth="1"/>
    <col min="6" max="6" width="13.85546875" customWidth="1"/>
    <col min="7" max="7" width="13.42578125" customWidth="1"/>
    <col min="8" max="8" width="15.140625" customWidth="1"/>
  </cols>
  <sheetData>
    <row r="1" spans="1:8" ht="63" customHeight="1" x14ac:dyDescent="0.25">
      <c r="C1" s="6" t="s">
        <v>8</v>
      </c>
      <c r="E1" s="5" t="s">
        <v>7</v>
      </c>
    </row>
    <row r="2" spans="1:8" ht="20.100000000000001" customHeight="1" x14ac:dyDescent="0.25">
      <c r="B2" s="8"/>
      <c r="C2" s="8" t="s">
        <v>5</v>
      </c>
      <c r="D2" s="9" t="s">
        <v>9</v>
      </c>
      <c r="E2" s="10">
        <v>5737</v>
      </c>
    </row>
    <row r="3" spans="1:8" x14ac:dyDescent="0.25">
      <c r="B3" s="11"/>
      <c r="C3" s="12" t="s">
        <v>26</v>
      </c>
      <c r="D3" s="9" t="s">
        <v>10</v>
      </c>
      <c r="E3" s="10" t="str">
        <f ca="1">TEXT(TODAY(),"m/d/yyyy")</f>
        <v>9/2/2026</v>
      </c>
    </row>
    <row r="4" spans="1:8" x14ac:dyDescent="0.25">
      <c r="B4" s="11"/>
      <c r="C4" s="12" t="s">
        <v>27</v>
      </c>
      <c r="D4" s="9" t="s">
        <v>11</v>
      </c>
      <c r="E4" s="13">
        <v>46267</v>
      </c>
    </row>
    <row r="5" spans="1:8" x14ac:dyDescent="0.25">
      <c r="B5" s="11"/>
      <c r="C5" s="12" t="s">
        <v>28</v>
      </c>
      <c r="D5" s="9" t="s">
        <v>12</v>
      </c>
      <c r="E5" s="10" t="s">
        <v>25</v>
      </c>
    </row>
    <row r="6" spans="1:8" x14ac:dyDescent="0.25">
      <c r="D6" s="9" t="s">
        <v>13</v>
      </c>
      <c r="E6" s="10">
        <v>81826</v>
      </c>
    </row>
    <row r="7" spans="1:8" x14ac:dyDescent="0.25">
      <c r="B7" s="8"/>
      <c r="C7" s="8" t="s">
        <v>6</v>
      </c>
      <c r="D7" s="9" t="s">
        <v>14</v>
      </c>
      <c r="E7" s="13">
        <v>46250</v>
      </c>
    </row>
    <row r="8" spans="1:8" x14ac:dyDescent="0.25">
      <c r="B8" s="11"/>
      <c r="C8" s="12" t="s">
        <v>26</v>
      </c>
      <c r="D8" s="9" t="s">
        <v>15</v>
      </c>
      <c r="E8" s="10" t="s">
        <v>30</v>
      </c>
    </row>
    <row r="9" spans="1:8" x14ac:dyDescent="0.25">
      <c r="B9" s="11"/>
      <c r="C9" s="12" t="s">
        <v>27</v>
      </c>
      <c r="D9" s="9" t="s">
        <v>16</v>
      </c>
      <c r="E9" s="35" t="s">
        <v>31</v>
      </c>
    </row>
    <row r="10" spans="1:8" s="14" customFormat="1" ht="18" customHeight="1" x14ac:dyDescent="0.25">
      <c r="A10"/>
      <c r="B10" s="11"/>
      <c r="C10" s="12" t="s">
        <v>28</v>
      </c>
      <c r="D10" s="9" t="s">
        <v>17</v>
      </c>
      <c r="E10" s="10" t="s">
        <v>32</v>
      </c>
      <c r="F10"/>
      <c r="G10"/>
      <c r="H10"/>
    </row>
    <row r="11" spans="1:8" ht="15.75" thickBot="1" x14ac:dyDescent="0.3"/>
    <row r="12" spans="1:8" ht="39.950000000000003" customHeight="1" thickTop="1" thickBot="1" x14ac:dyDescent="0.3">
      <c r="A12" s="7" t="s">
        <v>0</v>
      </c>
      <c r="B12" s="1" t="s">
        <v>1</v>
      </c>
      <c r="C12" s="2" t="s">
        <v>2</v>
      </c>
      <c r="D12" s="1" t="s">
        <v>29</v>
      </c>
      <c r="E12" s="1" t="s">
        <v>3</v>
      </c>
      <c r="F12" s="1" t="s">
        <v>4</v>
      </c>
      <c r="G12" s="3"/>
      <c r="H12" s="4"/>
    </row>
    <row r="13" spans="1:8" s="46" customFormat="1" ht="30" customHeight="1" thickTop="1" x14ac:dyDescent="0.25">
      <c r="A13" s="40">
        <v>146</v>
      </c>
      <c r="B13" s="41">
        <v>993553</v>
      </c>
      <c r="C13" s="45" t="s">
        <v>40</v>
      </c>
      <c r="D13" s="38">
        <v>157680</v>
      </c>
      <c r="E13" s="38">
        <v>903.74</v>
      </c>
      <c r="F13" s="38">
        <v>1584.1</v>
      </c>
      <c r="G13" s="39"/>
      <c r="H13" s="39"/>
    </row>
    <row r="14" spans="1:8" s="46" customFormat="1" ht="30" customHeight="1" x14ac:dyDescent="0.25">
      <c r="A14" s="40">
        <v>86</v>
      </c>
      <c r="B14" s="41">
        <v>993555</v>
      </c>
      <c r="C14" s="45" t="s">
        <v>41</v>
      </c>
      <c r="D14" s="38">
        <v>92880</v>
      </c>
      <c r="E14" s="38">
        <v>532.34</v>
      </c>
      <c r="F14" s="38">
        <v>933.1</v>
      </c>
      <c r="G14" s="39"/>
      <c r="H14" s="39"/>
    </row>
    <row r="15" spans="1:8" s="41" customFormat="1" ht="30" customHeight="1" x14ac:dyDescent="0.25">
      <c r="A15" s="44">
        <v>20</v>
      </c>
      <c r="B15" s="44">
        <v>999147</v>
      </c>
      <c r="C15" s="47" t="s">
        <v>42</v>
      </c>
      <c r="D15" s="38">
        <v>21600</v>
      </c>
      <c r="E15" s="38">
        <v>148.6</v>
      </c>
      <c r="F15" s="38">
        <v>256</v>
      </c>
      <c r="G15" s="39"/>
      <c r="H15" s="39"/>
    </row>
    <row r="16" spans="1:8" s="48" customFormat="1" ht="30" customHeight="1" x14ac:dyDescent="0.25">
      <c r="A16" s="44">
        <v>2</v>
      </c>
      <c r="B16" s="36">
        <v>992131</v>
      </c>
      <c r="C16" s="42" t="s">
        <v>43</v>
      </c>
      <c r="D16" s="38">
        <v>2880</v>
      </c>
      <c r="E16" s="38">
        <v>19.82</v>
      </c>
      <c r="F16" s="38">
        <v>30.9</v>
      </c>
      <c r="G16" s="39"/>
      <c r="H16" s="39"/>
    </row>
    <row r="17" spans="1:8" s="48" customFormat="1" ht="30" customHeight="1" x14ac:dyDescent="0.25">
      <c r="A17" s="44">
        <v>3</v>
      </c>
      <c r="B17" s="36">
        <v>992133</v>
      </c>
      <c r="C17" s="42" t="s">
        <v>44</v>
      </c>
      <c r="D17" s="38">
        <v>4320</v>
      </c>
      <c r="E17" s="38">
        <v>29.73</v>
      </c>
      <c r="F17" s="38">
        <v>46.349999999999994</v>
      </c>
      <c r="G17" s="39"/>
      <c r="H17" s="39"/>
    </row>
    <row r="18" spans="1:8" s="48" customFormat="1" ht="30" customHeight="1" x14ac:dyDescent="0.25">
      <c r="A18" s="44">
        <v>7</v>
      </c>
      <c r="B18" s="36">
        <v>992137</v>
      </c>
      <c r="C18" s="42" t="s">
        <v>45</v>
      </c>
      <c r="D18" s="38">
        <v>10080</v>
      </c>
      <c r="E18" s="38">
        <v>69.37</v>
      </c>
      <c r="F18" s="38">
        <v>108.14999999999999</v>
      </c>
      <c r="G18" s="39"/>
      <c r="H18" s="39"/>
    </row>
    <row r="19" spans="1:8" s="48" customFormat="1" ht="30" customHeight="1" x14ac:dyDescent="0.25">
      <c r="A19" s="44">
        <v>2</v>
      </c>
      <c r="B19" s="36">
        <v>992139</v>
      </c>
      <c r="C19" s="42" t="s">
        <v>46</v>
      </c>
      <c r="D19" s="38">
        <v>2880</v>
      </c>
      <c r="E19" s="38">
        <v>19.82</v>
      </c>
      <c r="F19" s="38">
        <v>30.9</v>
      </c>
      <c r="G19" s="39"/>
      <c r="H19" s="39"/>
    </row>
    <row r="20" spans="1:8" s="46" customFormat="1" ht="30" customHeight="1" x14ac:dyDescent="0.25">
      <c r="A20" s="49">
        <v>2</v>
      </c>
      <c r="B20" s="41">
        <v>995154</v>
      </c>
      <c r="C20" s="42" t="s">
        <v>47</v>
      </c>
      <c r="D20" s="38">
        <v>1440</v>
      </c>
      <c r="E20" s="38">
        <v>11.5</v>
      </c>
      <c r="F20" s="38">
        <v>18.48</v>
      </c>
      <c r="G20" s="43"/>
      <c r="H20" s="43"/>
    </row>
    <row r="21" spans="1:8" s="46" customFormat="1" ht="30" customHeight="1" x14ac:dyDescent="0.25">
      <c r="A21" s="44">
        <v>162</v>
      </c>
      <c r="B21" s="36">
        <v>995431</v>
      </c>
      <c r="C21" s="42" t="s">
        <v>48</v>
      </c>
      <c r="D21" s="38">
        <v>116640</v>
      </c>
      <c r="E21" s="38">
        <v>931.5</v>
      </c>
      <c r="F21" s="38">
        <v>1801.4399999999998</v>
      </c>
      <c r="G21" s="43"/>
      <c r="H21" s="43"/>
    </row>
    <row r="22" spans="1:8" s="46" customFormat="1" ht="30" customHeight="1" x14ac:dyDescent="0.25">
      <c r="A22" s="44">
        <v>3</v>
      </c>
      <c r="B22" s="36">
        <v>995432</v>
      </c>
      <c r="C22" s="42" t="s">
        <v>33</v>
      </c>
      <c r="D22" s="38">
        <v>2160</v>
      </c>
      <c r="E22" s="38">
        <v>17.25</v>
      </c>
      <c r="F22" s="38">
        <v>33.36</v>
      </c>
      <c r="G22" s="43"/>
      <c r="H22" s="43"/>
    </row>
    <row r="23" spans="1:8" s="46" customFormat="1" ht="30" customHeight="1" x14ac:dyDescent="0.25">
      <c r="A23" s="44">
        <v>73</v>
      </c>
      <c r="B23" s="36">
        <v>995433</v>
      </c>
      <c r="C23" s="42" t="s">
        <v>34</v>
      </c>
      <c r="D23" s="38">
        <v>52560</v>
      </c>
      <c r="E23" s="38">
        <v>419.75</v>
      </c>
      <c r="F23" s="38">
        <v>811.76</v>
      </c>
      <c r="G23" s="43"/>
      <c r="H23" s="43"/>
    </row>
    <row r="24" spans="1:8" s="46" customFormat="1" ht="30" customHeight="1" x14ac:dyDescent="0.25">
      <c r="A24" s="44">
        <v>139</v>
      </c>
      <c r="B24" s="36">
        <v>995434</v>
      </c>
      <c r="C24" s="42" t="s">
        <v>35</v>
      </c>
      <c r="D24" s="38">
        <v>100080</v>
      </c>
      <c r="E24" s="38">
        <v>799.25</v>
      </c>
      <c r="F24" s="38">
        <v>1545.6799999999998</v>
      </c>
      <c r="G24" s="43"/>
      <c r="H24" s="43"/>
    </row>
    <row r="25" spans="1:8" s="46" customFormat="1" ht="30" customHeight="1" x14ac:dyDescent="0.25">
      <c r="A25" s="44">
        <v>89</v>
      </c>
      <c r="B25" s="41">
        <v>995439</v>
      </c>
      <c r="C25" s="42" t="s">
        <v>49</v>
      </c>
      <c r="D25" s="38">
        <v>64080</v>
      </c>
      <c r="E25" s="38">
        <v>511.75</v>
      </c>
      <c r="F25" s="38">
        <v>989.68</v>
      </c>
      <c r="G25" s="43"/>
      <c r="H25" s="43"/>
    </row>
    <row r="26" spans="1:8" s="46" customFormat="1" ht="30" customHeight="1" x14ac:dyDescent="0.25">
      <c r="A26" s="44">
        <v>59</v>
      </c>
      <c r="B26" s="41">
        <v>995388</v>
      </c>
      <c r="C26" s="37" t="s">
        <v>50</v>
      </c>
      <c r="D26" s="38">
        <v>42480</v>
      </c>
      <c r="E26" s="38">
        <v>339.25</v>
      </c>
      <c r="F26" s="38">
        <v>656.07999999999993</v>
      </c>
      <c r="G26" s="43"/>
      <c r="H26" s="43"/>
    </row>
    <row r="27" spans="1:8" s="46" customFormat="1" ht="30" customHeight="1" x14ac:dyDescent="0.25">
      <c r="A27" s="44">
        <v>4</v>
      </c>
      <c r="B27" s="36">
        <v>995451</v>
      </c>
      <c r="C27" s="42" t="s">
        <v>51</v>
      </c>
      <c r="D27" s="38">
        <v>2880</v>
      </c>
      <c r="E27" s="38">
        <v>23</v>
      </c>
      <c r="F27" s="38">
        <v>44.48</v>
      </c>
      <c r="G27" s="43"/>
      <c r="H27" s="43"/>
    </row>
    <row r="28" spans="1:8" s="46" customFormat="1" ht="30" customHeight="1" x14ac:dyDescent="0.25">
      <c r="A28" s="44">
        <v>1</v>
      </c>
      <c r="B28" s="36">
        <v>995459</v>
      </c>
      <c r="C28" s="42" t="s">
        <v>52</v>
      </c>
      <c r="D28" s="38">
        <v>720</v>
      </c>
      <c r="E28" s="38">
        <v>5.75</v>
      </c>
      <c r="F28" s="38">
        <v>11.12</v>
      </c>
      <c r="G28" s="43"/>
      <c r="H28" s="43"/>
    </row>
    <row r="29" spans="1:8" s="46" customFormat="1" ht="30" customHeight="1" x14ac:dyDescent="0.25">
      <c r="A29" s="44">
        <v>2</v>
      </c>
      <c r="B29" s="36">
        <v>995462</v>
      </c>
      <c r="C29" s="42" t="s">
        <v>53</v>
      </c>
      <c r="D29" s="38">
        <v>1440</v>
      </c>
      <c r="E29" s="38">
        <v>11.5</v>
      </c>
      <c r="F29" s="38">
        <v>22.24</v>
      </c>
      <c r="G29" s="43"/>
      <c r="H29" s="43"/>
    </row>
    <row r="30" spans="1:8" s="46" customFormat="1" ht="30" customHeight="1" x14ac:dyDescent="0.25">
      <c r="A30" s="44">
        <v>91</v>
      </c>
      <c r="B30" s="36">
        <v>995476</v>
      </c>
      <c r="C30" s="42" t="s">
        <v>36</v>
      </c>
      <c r="D30" s="38">
        <v>65520</v>
      </c>
      <c r="E30" s="38">
        <v>523.25</v>
      </c>
      <c r="F30" s="38">
        <v>1011.92</v>
      </c>
      <c r="G30" s="43"/>
      <c r="H30" s="43"/>
    </row>
    <row r="31" spans="1:8" s="46" customFormat="1" ht="30" customHeight="1" x14ac:dyDescent="0.25">
      <c r="A31" s="40">
        <v>10</v>
      </c>
      <c r="B31" s="36">
        <v>995272</v>
      </c>
      <c r="C31" s="42" t="s">
        <v>37</v>
      </c>
      <c r="D31" s="38">
        <v>7200</v>
      </c>
      <c r="E31" s="38">
        <v>57.5</v>
      </c>
      <c r="F31" s="38">
        <v>111.19999999999999</v>
      </c>
      <c r="G31" s="43"/>
      <c r="H31" s="43"/>
    </row>
    <row r="32" spans="1:8" s="46" customFormat="1" ht="30" customHeight="1" x14ac:dyDescent="0.25">
      <c r="A32" s="40">
        <v>143</v>
      </c>
      <c r="B32" s="36">
        <v>995275</v>
      </c>
      <c r="C32" s="42" t="s">
        <v>38</v>
      </c>
      <c r="D32" s="38">
        <v>102960</v>
      </c>
      <c r="E32" s="38">
        <v>822.25</v>
      </c>
      <c r="F32" s="38">
        <v>1590.1599999999999</v>
      </c>
      <c r="G32" s="43"/>
      <c r="H32" s="43"/>
    </row>
    <row r="33" spans="1:8" s="46" customFormat="1" ht="30" customHeight="1" x14ac:dyDescent="0.25">
      <c r="A33" s="44">
        <v>132</v>
      </c>
      <c r="B33" s="36">
        <v>995277</v>
      </c>
      <c r="C33" s="42" t="s">
        <v>39</v>
      </c>
      <c r="D33" s="38">
        <v>95040</v>
      </c>
      <c r="E33" s="38">
        <v>759</v>
      </c>
      <c r="F33" s="38">
        <v>1467.84</v>
      </c>
      <c r="G33" s="43"/>
      <c r="H33" s="43"/>
    </row>
    <row r="34" spans="1:8" s="46" customFormat="1" ht="30" customHeight="1" x14ac:dyDescent="0.25">
      <c r="A34" s="40">
        <v>1</v>
      </c>
      <c r="B34" s="50">
        <v>995381</v>
      </c>
      <c r="C34" s="37" t="s">
        <v>54</v>
      </c>
      <c r="D34" s="38">
        <v>720</v>
      </c>
      <c r="E34" s="38">
        <v>5.75</v>
      </c>
      <c r="F34" s="38">
        <v>11.12</v>
      </c>
      <c r="G34" s="43"/>
      <c r="H34" s="43"/>
    </row>
    <row r="35" spans="1:8" s="46" customFormat="1" ht="30" customHeight="1" x14ac:dyDescent="0.25">
      <c r="A35" s="40">
        <v>1</v>
      </c>
      <c r="B35" s="50">
        <v>995382</v>
      </c>
      <c r="C35" s="37" t="s">
        <v>55</v>
      </c>
      <c r="D35" s="38">
        <v>720</v>
      </c>
      <c r="E35" s="38">
        <v>5.75</v>
      </c>
      <c r="F35" s="38">
        <v>11.12</v>
      </c>
      <c r="G35" s="43"/>
      <c r="H35" s="43"/>
    </row>
    <row r="36" spans="1:8" s="55" customFormat="1" ht="30" customHeight="1" x14ac:dyDescent="0.25">
      <c r="A36" s="36">
        <v>1</v>
      </c>
      <c r="B36" s="44">
        <v>998999</v>
      </c>
      <c r="C36" s="51" t="s">
        <v>56</v>
      </c>
      <c r="D36" s="52">
        <v>14429</v>
      </c>
      <c r="E36" s="53">
        <v>1925.86</v>
      </c>
      <c r="F36" s="53">
        <v>1925.86</v>
      </c>
      <c r="G36" s="43"/>
      <c r="H36" s="54"/>
    </row>
    <row r="37" spans="1:8" s="22" customFormat="1" ht="9.9499999999999993" customHeight="1" thickBot="1" x14ac:dyDescent="0.25">
      <c r="A37" s="15"/>
      <c r="B37" s="16"/>
      <c r="C37" s="17"/>
      <c r="D37" s="18"/>
      <c r="E37" s="19"/>
      <c r="F37" s="19"/>
      <c r="G37" s="20"/>
      <c r="H37" s="21"/>
    </row>
    <row r="38" spans="1:8" s="22" customFormat="1" ht="14.25" x14ac:dyDescent="0.2">
      <c r="A38" s="23">
        <f>SUM(A13:A37)</f>
        <v>1179</v>
      </c>
      <c r="B38" s="24"/>
      <c r="C38" s="25"/>
      <c r="D38" s="23">
        <f>SUM(D13:D37)</f>
        <v>963389</v>
      </c>
      <c r="E38" s="23">
        <f>SUM(E13:E37)</f>
        <v>8893.2800000000007</v>
      </c>
      <c r="F38" s="23">
        <f>SUM(F13:F37)</f>
        <v>15053.040000000003</v>
      </c>
      <c r="G38" s="26"/>
      <c r="H38" s="56"/>
    </row>
    <row r="39" spans="1:8" s="22" customFormat="1" ht="14.25" x14ac:dyDescent="0.2">
      <c r="A39" s="24"/>
      <c r="B39" s="24"/>
      <c r="C39" s="25"/>
      <c r="D39" s="23"/>
      <c r="E39" s="23"/>
      <c r="F39" s="23"/>
      <c r="G39" s="27"/>
      <c r="H39" s="27"/>
    </row>
    <row r="40" spans="1:8" s="22" customFormat="1" ht="14.25" x14ac:dyDescent="0.2">
      <c r="A40" s="24"/>
      <c r="B40" s="24"/>
      <c r="C40" s="25"/>
      <c r="D40" s="23"/>
      <c r="E40" s="23"/>
      <c r="F40" s="23"/>
      <c r="G40" s="27"/>
      <c r="H40" s="27"/>
    </row>
    <row r="41" spans="1:8" s="22" customFormat="1" ht="14.25" x14ac:dyDescent="0.2">
      <c r="A41" s="28"/>
      <c r="B41" s="24"/>
      <c r="C41" s="25"/>
      <c r="D41" s="23"/>
      <c r="E41" s="23"/>
      <c r="F41" s="23"/>
      <c r="G41" s="27"/>
      <c r="H41" s="29"/>
    </row>
    <row r="42" spans="1:8" s="22" customFormat="1" ht="14.25" x14ac:dyDescent="0.2">
      <c r="A42" s="28"/>
      <c r="B42" s="24"/>
      <c r="C42" s="30" t="s">
        <v>18</v>
      </c>
      <c r="D42" s="23">
        <f>D38-D36</f>
        <v>948960</v>
      </c>
      <c r="E42" s="31" t="s">
        <v>19</v>
      </c>
      <c r="F42" s="23"/>
      <c r="G42" s="27"/>
      <c r="H42" s="29"/>
    </row>
    <row r="43" spans="1:8" s="22" customFormat="1" ht="14.25" hidden="1" x14ac:dyDescent="0.2">
      <c r="A43" s="28"/>
      <c r="B43" s="24"/>
      <c r="C43" s="30" t="s">
        <v>20</v>
      </c>
      <c r="D43" s="23"/>
      <c r="E43" s="31" t="s">
        <v>19</v>
      </c>
      <c r="F43" s="23"/>
      <c r="G43" s="27"/>
      <c r="H43" s="29"/>
    </row>
    <row r="44" spans="1:8" s="22" customFormat="1" ht="14.25" hidden="1" x14ac:dyDescent="0.2">
      <c r="A44" s="28"/>
      <c r="B44" s="24"/>
      <c r="C44" s="30" t="s">
        <v>21</v>
      </c>
      <c r="D44" s="23"/>
      <c r="E44" s="31" t="s">
        <v>19</v>
      </c>
      <c r="F44" s="23"/>
      <c r="G44" s="27"/>
      <c r="H44" s="29"/>
    </row>
    <row r="45" spans="1:8" s="22" customFormat="1" ht="14.25" x14ac:dyDescent="0.2">
      <c r="B45" s="16"/>
      <c r="C45" s="30" t="s">
        <v>22</v>
      </c>
      <c r="D45" s="32">
        <f>E38/2.2046</f>
        <v>4033.9653451873355</v>
      </c>
      <c r="E45" s="31" t="s">
        <v>23</v>
      </c>
      <c r="F45" s="33"/>
      <c r="G45" s="34"/>
      <c r="H45" s="29"/>
    </row>
    <row r="46" spans="1:8" s="22" customFormat="1" ht="14.25" x14ac:dyDescent="0.2">
      <c r="B46" s="16"/>
      <c r="C46" s="30" t="s">
        <v>24</v>
      </c>
      <c r="D46" s="32">
        <f>F38/2.2046</f>
        <v>6828.0141522271624</v>
      </c>
      <c r="E46" s="31" t="s">
        <v>23</v>
      </c>
      <c r="F46" s="33"/>
      <c r="G46" s="34"/>
      <c r="H46" s="29"/>
    </row>
  </sheetData>
  <printOptions horizontalCentered="1"/>
  <pageMargins left="0.2" right="0.2" top="0.25" bottom="0.5" header="0.3" footer="0.3"/>
  <pageSetup scale="90" orientation="portrait" verticalDpi="0" r:id="rId1"/>
  <headerFooter>
    <oddFooter>&amp;C&amp;K09-047Direccion: Manzana G #3, Etapa I, Parque Industrial Victor Espaillat M. ,  Santiago, Republica Dominicana 
 Tel 809-570-3256 - Cel 829-548-1758 - email: administracion@eymaseirl.com&amp;R&amp;P/&amp;N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PSL 5737  </vt:lpstr>
      <vt:lpstr>'PSL 5737  '!Área_de_impresión</vt:lpstr>
      <vt:lpstr>'PSL 5737 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cluna</dc:creator>
  <cp:lastModifiedBy>Cruz Luna</cp:lastModifiedBy>
  <cp:lastPrinted>2026-09-02T14:18:53Z</cp:lastPrinted>
  <dcterms:created xsi:type="dcterms:W3CDTF">2023-02-28T14:50:56Z</dcterms:created>
  <dcterms:modified xsi:type="dcterms:W3CDTF">2026-09-02T14:18:56Z</dcterms:modified>
</cp:coreProperties>
</file>